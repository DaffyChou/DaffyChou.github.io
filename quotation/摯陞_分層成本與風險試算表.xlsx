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分層成本與風險試算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<sst xmlns="http://schemas.openxmlformats.org/spreadsheetml/2006/main" count="54" uniqueCount="50">
  <si>
    <t xml:space="preserve">摯陞數位科技有限公司　內部分層成本與風險試算表</t>
  </si>
  <si>
    <t xml:space="preserve">專案名稱／客戶</t>
  </si>
  <si>
    <r>
      <rPr>
        <sz val="10"/>
        <color rgb="FF0000FF"/>
        <rFont val="Noto Sans CJK SC"/>
        <family val="2"/>
      </rPr>
      <t xml:space="preserve">船隊監控系統開發（範例</t>
    </r>
    <r>
      <rPr>
        <sz val="10"/>
        <color rgb="FF0000FF"/>
        <rFont val="Microsoft JhengHei"/>
        <family val="0"/>
        <charset val="1"/>
      </rPr>
      <t xml:space="preserve">,</t>
    </r>
    <r>
      <rPr>
        <sz val="10"/>
        <color rgb="FF0000FF"/>
        <rFont val="Noto Sans CJK SC"/>
        <family val="2"/>
      </rPr>
      <t xml:space="preserve">請填入）</t>
    </r>
  </si>
  <si>
    <r>
      <rPr>
        <b val="true"/>
        <sz val="11"/>
        <color rgb="FFFFFFFF"/>
        <rFont val="Noto Sans CJK SC"/>
        <family val="2"/>
      </rPr>
      <t xml:space="preserve">一、假設參數（黃色為可調整輸入</t>
    </r>
    <r>
      <rPr>
        <b val="true"/>
        <sz val="11"/>
        <color rgb="FFFFFFFF"/>
        <rFont val="Microsoft JhengHei"/>
        <family val="0"/>
        <charset val="1"/>
      </rPr>
      <t xml:space="preserve">,</t>
    </r>
    <r>
      <rPr>
        <b val="true"/>
        <sz val="11"/>
        <color rgb="FFFFFFFF"/>
        <rFont val="Noto Sans CJK SC"/>
        <family val="2"/>
      </rPr>
      <t xml:space="preserve">改這裡其他全自動重算）</t>
    </r>
  </si>
  <si>
    <t xml:space="preserve">管銷分攤率</t>
  </si>
  <si>
    <r>
      <rPr>
        <sz val="9"/>
        <color rgb="FF808080"/>
        <rFont val="Noto Sans CJK SC"/>
        <family val="2"/>
      </rPr>
      <t xml:space="preserve">房租、行政／會計、軟硬體、教育訓練、非計費工時等間接成本分攤</t>
    </r>
    <r>
      <rPr>
        <sz val="9"/>
        <color rgb="FF808080"/>
        <rFont val="Microsoft JhengHei"/>
        <family val="0"/>
        <charset val="1"/>
      </rPr>
      <t xml:space="preserve">;</t>
    </r>
    <r>
      <rPr>
        <sz val="9"/>
        <color rgb="FF808080"/>
        <rFont val="Noto Sans CJK SC"/>
        <family val="2"/>
      </rPr>
      <t xml:space="preserve">建議依公司帳實算</t>
    </r>
  </si>
  <si>
    <t xml:space="preserve">風險準備率</t>
  </si>
  <si>
    <r>
      <rPr>
        <sz val="9"/>
        <color rgb="FF808080"/>
        <rFont val="Noto Sans CJK SC"/>
        <family val="2"/>
      </rPr>
      <t xml:space="preserve">需求變更、工時低估、驗收延遲、呆帳、保固修 </t>
    </r>
    <r>
      <rPr>
        <sz val="9"/>
        <color rgb="FF808080"/>
        <rFont val="Microsoft JhengHei"/>
        <family val="0"/>
        <charset val="1"/>
      </rPr>
      <t xml:space="preserve">bug </t>
    </r>
    <r>
      <rPr>
        <sz val="9"/>
        <color rgb="FF808080"/>
        <rFont val="Noto Sans CJK SC"/>
        <family val="2"/>
      </rPr>
      <t xml:space="preserve">的緩衝</t>
    </r>
    <r>
      <rPr>
        <sz val="9"/>
        <color rgb="FF808080"/>
        <rFont val="Microsoft JhengHei"/>
        <family val="0"/>
        <charset val="1"/>
      </rPr>
      <t xml:space="preserve">;</t>
    </r>
    <r>
      <rPr>
        <sz val="9"/>
        <color rgb="FF808080"/>
        <rFont val="Noto Sans CJK SC"/>
        <family val="2"/>
      </rPr>
      <t xml:space="preserve">高風險項目可調高</t>
    </r>
  </si>
  <si>
    <t xml:space="preserve">目標淨利率</t>
  </si>
  <si>
    <r>
      <rPr>
        <sz val="9"/>
        <color rgb="FF808080"/>
        <rFont val="Noto Sans CJK SC"/>
        <family val="2"/>
      </rPr>
      <t xml:space="preserve">僅用於回推下方『建議報價』作對照</t>
    </r>
    <r>
      <rPr>
        <sz val="9"/>
        <color rgb="FF808080"/>
        <rFont val="Microsoft JhengHei"/>
        <family val="0"/>
        <charset val="1"/>
      </rPr>
      <t xml:space="preserve">,</t>
    </r>
    <r>
      <rPr>
        <sz val="9"/>
        <color rgb="FF808080"/>
        <rFont val="Noto Sans CJK SC"/>
        <family val="2"/>
      </rPr>
      <t xml:space="preserve">不影響報價明細</t>
    </r>
  </si>
  <si>
    <t xml:space="preserve">二、報價明細</t>
  </si>
  <si>
    <t xml:space="preserve">項目</t>
  </si>
  <si>
    <t xml:space="preserve">角色</t>
  </si>
  <si>
    <t xml:space="preserve">人日</t>
  </si>
  <si>
    <r>
      <rPr>
        <b val="true"/>
        <sz val="10"/>
        <color rgb="FF000000"/>
        <rFont val="Noto Sans CJK SC"/>
        <family val="2"/>
      </rPr>
      <t xml:space="preserve">單位成本</t>
    </r>
    <r>
      <rPr>
        <b val="true"/>
        <sz val="10"/>
        <color rgb="FF000000"/>
        <rFont val="Microsoft JhengHei"/>
        <family val="0"/>
        <charset val="1"/>
      </rPr>
      <t xml:space="preserve">
(NT$/</t>
    </r>
    <r>
      <rPr>
        <b val="true"/>
        <sz val="10"/>
        <color rgb="FF000000"/>
        <rFont val="Noto Sans CJK SC"/>
        <family val="2"/>
      </rPr>
      <t xml:space="preserve">人日</t>
    </r>
    <r>
      <rPr>
        <b val="true"/>
        <sz val="10"/>
        <color rgb="FF000000"/>
        <rFont val="Microsoft JhengHei"/>
        <family val="0"/>
        <charset val="1"/>
      </rPr>
      <t xml:space="preserve">)</t>
    </r>
  </si>
  <si>
    <r>
      <rPr>
        <b val="true"/>
        <sz val="10"/>
        <color rgb="FF000000"/>
        <rFont val="Noto Sans CJK SC"/>
        <family val="2"/>
      </rPr>
      <t xml:space="preserve">加成</t>
    </r>
    <r>
      <rPr>
        <b val="true"/>
        <sz val="10"/>
        <color rgb="FF000000"/>
        <rFont val="Microsoft JhengHei"/>
        <family val="0"/>
        <charset val="1"/>
      </rPr>
      <t xml:space="preserve">%</t>
    </r>
  </si>
  <si>
    <r>
      <rPr>
        <b val="true"/>
        <sz val="10"/>
        <color rgb="FF000000"/>
        <rFont val="Noto Sans CJK SC"/>
        <family val="2"/>
      </rPr>
      <t xml:space="preserve">直接成本</t>
    </r>
    <r>
      <rPr>
        <b val="true"/>
        <sz val="10"/>
        <color rgb="FF000000"/>
        <rFont val="Microsoft JhengHei"/>
        <family val="0"/>
        <charset val="1"/>
      </rPr>
      <t xml:space="preserve">
(NT$)</t>
    </r>
  </si>
  <si>
    <r>
      <rPr>
        <b val="true"/>
        <sz val="10"/>
        <color rgb="FF000000"/>
        <rFont val="Noto Sans CJK SC"/>
        <family val="2"/>
      </rPr>
      <t xml:space="preserve">報價未稅</t>
    </r>
    <r>
      <rPr>
        <b val="true"/>
        <sz val="10"/>
        <color rgb="FF000000"/>
        <rFont val="Microsoft JhengHei"/>
        <family val="0"/>
        <charset val="1"/>
      </rPr>
      <t xml:space="preserve">
(NT$)</t>
    </r>
  </si>
  <si>
    <t xml:space="preserve">專案管理與需求訪談</t>
  </si>
  <si>
    <t xml:space="preserve">PM</t>
  </si>
  <si>
    <r>
      <rPr>
        <sz val="10"/>
        <color rgb="FF000000"/>
        <rFont val="Noto Sans CJK SC"/>
        <family val="2"/>
      </rPr>
      <t xml:space="preserve">船隊監控環境建置、前端 </t>
    </r>
    <r>
      <rPr>
        <sz val="10"/>
        <color rgb="FF000000"/>
        <rFont val="Microsoft JhengHei"/>
        <family val="0"/>
        <charset val="1"/>
      </rPr>
      <t xml:space="preserve">View Model </t>
    </r>
    <r>
      <rPr>
        <sz val="10"/>
        <color rgb="FF000000"/>
        <rFont val="Noto Sans CJK SC"/>
        <family val="2"/>
      </rPr>
      <t xml:space="preserve">設計</t>
    </r>
  </si>
  <si>
    <t xml:space="preserve">前端</t>
  </si>
  <si>
    <t xml:space="preserve">資料庫設計</t>
  </si>
  <si>
    <t xml:space="preserve">後端</t>
  </si>
  <si>
    <t xml:space="preserve">系統功能串接（船隊監控、事件處理、警示時間線、閾值設定）</t>
  </si>
  <si>
    <t xml:space="preserve">背景程式（收集程式、解析程式）</t>
  </si>
  <si>
    <t xml:space="preserve">API</t>
  </si>
  <si>
    <t xml:space="preserve">Line</t>
  </si>
  <si>
    <t xml:space="preserve">系統測試</t>
  </si>
  <si>
    <t xml:space="preserve">QA</t>
  </si>
  <si>
    <t xml:space="preserve">合計</t>
  </si>
  <si>
    <t xml:space="preserve">三、分層成本與獲利結構</t>
  </si>
  <si>
    <t xml:space="preserve">直接成本（專案人力）</t>
  </si>
  <si>
    <r>
      <rPr>
        <sz val="10"/>
        <color rgb="FF000000"/>
        <rFont val="Noto Sans CJK SC"/>
        <family val="2"/>
      </rPr>
      <t xml:space="preserve">＋ 管銷分攤（直接成本 </t>
    </r>
    <r>
      <rPr>
        <sz val="10"/>
        <color rgb="FF000000"/>
        <rFont val="Microsoft JhengHei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管銷率）</t>
    </r>
  </si>
  <si>
    <t xml:space="preserve">＝ 完全負擔成本（損益兩平點）</t>
  </si>
  <si>
    <r>
      <rPr>
        <sz val="10"/>
        <color rgb="FF000000"/>
        <rFont val="Noto Sans CJK SC"/>
        <family val="2"/>
      </rPr>
      <t xml:space="preserve">＋ 風險準備（完全負擔成本 </t>
    </r>
    <r>
      <rPr>
        <sz val="10"/>
        <color rgb="FF000000"/>
        <rFont val="Microsoft JhengHei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風險率）</t>
    </r>
  </si>
  <si>
    <r>
      <rPr>
        <b val="true"/>
        <sz val="10"/>
        <color rgb="FF000000"/>
        <rFont val="Noto Sans CJK SC"/>
        <family val="2"/>
      </rPr>
      <t xml:space="preserve">＝ 風險調整後成本（底價</t>
    </r>
    <r>
      <rPr>
        <b val="true"/>
        <sz val="10"/>
        <color rgb="FF000000"/>
        <rFont val="Microsoft JhengHei"/>
        <family val="0"/>
        <charset val="1"/>
      </rPr>
      <t xml:space="preserve">,</t>
    </r>
    <r>
      <rPr>
        <b val="true"/>
        <sz val="10"/>
        <color rgb="FF000000"/>
        <rFont val="Noto Sans CJK SC"/>
        <family val="2"/>
      </rPr>
      <t xml:space="preserve">議價地板）</t>
    </r>
  </si>
  <si>
    <t xml:space="preserve">報價未稅</t>
  </si>
  <si>
    <t xml:space="preserve">表面毛利（報價 − 直接成本）</t>
  </si>
  <si>
    <t xml:space="preserve">表面毛利率</t>
  </si>
  <si>
    <r>
      <rPr>
        <b val="true"/>
        <sz val="10"/>
        <color rgb="FF000000"/>
        <rFont val="Noto Sans CJK SC"/>
        <family val="2"/>
      </rPr>
      <t xml:space="preserve">真實淨利（報價 − 底價</t>
    </r>
    <r>
      <rPr>
        <b val="true"/>
        <sz val="10"/>
        <color rgb="FF000000"/>
        <rFont val="Microsoft JhengHei"/>
        <family val="0"/>
        <charset val="1"/>
      </rPr>
      <t xml:space="preserve">,</t>
    </r>
    <r>
      <rPr>
        <b val="true"/>
        <sz val="10"/>
        <color rgb="FF000000"/>
        <rFont val="Noto Sans CJK SC"/>
        <family val="2"/>
      </rPr>
      <t xml:space="preserve">亦即最大議價空間）</t>
    </r>
  </si>
  <si>
    <t xml:space="preserve">真實淨利率</t>
  </si>
  <si>
    <r>
      <rPr>
        <sz val="10"/>
        <color rgb="FF000000"/>
        <rFont val="Noto Sans CJK SC"/>
        <family val="2"/>
      </rPr>
      <t xml:space="preserve">建議報價（底價 </t>
    </r>
    <r>
      <rPr>
        <sz val="10"/>
        <color rgb="FF000000"/>
        <rFont val="Microsoft JhengHei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Microsoft JhengHei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目標淨利率））</t>
    </r>
  </si>
  <si>
    <t xml:space="preserve">與目前報價差異（報價 − 建議報價）</t>
  </si>
  <si>
    <r>
      <rPr>
        <i val="true"/>
        <sz val="9"/>
        <color rgb="FF808080"/>
        <rFont val="Noto Sans CJK SC"/>
        <family val="2"/>
      </rPr>
      <t xml:space="preserve">※ 差異為正 </t>
    </r>
    <r>
      <rPr>
        <i val="true"/>
        <sz val="9"/>
        <color rgb="FF808080"/>
        <rFont val="Microsoft JhengHei"/>
        <family val="0"/>
        <charset val="1"/>
      </rPr>
      <t xml:space="preserve">= </t>
    </r>
    <r>
      <rPr>
        <i val="true"/>
        <sz val="9"/>
        <color rgb="FF808080"/>
        <rFont val="Noto Sans CJK SC"/>
        <family val="2"/>
      </rPr>
      <t xml:space="preserve">目前報價高於目標淨利所需</t>
    </r>
    <r>
      <rPr>
        <i val="true"/>
        <sz val="9"/>
        <color rgb="FF808080"/>
        <rFont val="Microsoft JhengHei"/>
        <family val="0"/>
        <charset val="1"/>
      </rPr>
      <t xml:space="preserve">,</t>
    </r>
    <r>
      <rPr>
        <i val="true"/>
        <sz val="9"/>
        <color rgb="FF808080"/>
        <rFont val="Noto Sans CJK SC"/>
        <family val="2"/>
      </rPr>
      <t xml:space="preserve">有議價緩衝</t>
    </r>
    <r>
      <rPr>
        <i val="true"/>
        <sz val="9"/>
        <color rgb="FF808080"/>
        <rFont val="Microsoft JhengHei"/>
        <family val="0"/>
        <charset val="1"/>
      </rPr>
      <t xml:space="preserve">;</t>
    </r>
    <r>
      <rPr>
        <i val="true"/>
        <sz val="9"/>
        <color rgb="FF808080"/>
        <rFont val="Noto Sans CJK SC"/>
        <family val="2"/>
      </rPr>
      <t xml:space="preserve">為負 </t>
    </r>
    <r>
      <rPr>
        <i val="true"/>
        <sz val="9"/>
        <color rgb="FF808080"/>
        <rFont val="Microsoft JhengHei"/>
        <family val="0"/>
        <charset val="1"/>
      </rPr>
      <t xml:space="preserve">= </t>
    </r>
    <r>
      <rPr>
        <i val="true"/>
        <sz val="9"/>
        <color rgb="FF808080"/>
        <rFont val="Noto Sans CJK SC"/>
        <family val="2"/>
      </rPr>
      <t xml:space="preserve">報價偏低</t>
    </r>
    <r>
      <rPr>
        <i val="true"/>
        <sz val="9"/>
        <color rgb="FF808080"/>
        <rFont val="Microsoft JhengHei"/>
        <family val="0"/>
        <charset val="1"/>
      </rPr>
      <t xml:space="preserve">,</t>
    </r>
    <r>
      <rPr>
        <i val="true"/>
        <sz val="9"/>
        <color rgb="FF808080"/>
        <rFont val="Noto Sans CJK SC"/>
        <family val="2"/>
      </rPr>
      <t xml:space="preserve">建議檢討。</t>
    </r>
  </si>
  <si>
    <t xml:space="preserve">四、稅與含稅總計（對外揭露用）</t>
  </si>
  <si>
    <t xml:space="preserve">報價（未稅）</t>
  </si>
  <si>
    <r>
      <rPr>
        <sz val="10"/>
        <color rgb="FF000000"/>
        <rFont val="Noto Sans CJK SC"/>
        <family val="2"/>
      </rPr>
      <t xml:space="preserve">營業稅 </t>
    </r>
    <r>
      <rPr>
        <sz val="10"/>
        <color rgb="FF000000"/>
        <rFont val="Microsoft JhengHei"/>
        <family val="0"/>
        <charset val="1"/>
      </rPr>
      <t xml:space="preserve">5%</t>
    </r>
  </si>
  <si>
    <t xml:space="preserve">含稅總計</t>
  </si>
  <si>
    <r>
      <rPr>
        <i val="true"/>
        <sz val="9"/>
        <color rgb="FF808080"/>
        <rFont val="Noto Sans CJK SC"/>
        <family val="2"/>
      </rPr>
      <t xml:space="preserve">對客戶揭露時僅呈現「報價明細」與「含稅總計」</t>
    </r>
    <r>
      <rPr>
        <i val="true"/>
        <sz val="9"/>
        <color rgb="FF808080"/>
        <rFont val="Microsoft JhengHei"/>
        <family val="0"/>
        <charset val="1"/>
      </rPr>
      <t xml:space="preserve">;</t>
    </r>
    <r>
      <rPr>
        <i val="true"/>
        <sz val="9"/>
        <color rgb="FF808080"/>
        <rFont val="Noto Sans CJK SC"/>
        <family val="2"/>
      </rPr>
      <t xml:space="preserve">假設參數與成本／獲利結構屬內部分析</t>
    </r>
    <r>
      <rPr>
        <i val="true"/>
        <sz val="9"/>
        <color rgb="FF808080"/>
        <rFont val="Microsoft JhengHei"/>
        <family val="0"/>
        <charset val="1"/>
      </rPr>
      <t xml:space="preserve">,</t>
    </r>
    <r>
      <rPr>
        <i val="true"/>
        <sz val="9"/>
        <color rgb="FF808080"/>
        <rFont val="Noto Sans CJK SC"/>
        <family val="2"/>
      </rPr>
      <t xml:space="preserve">請勿外流。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</si>
</sst>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0.0"/>
    <numFmt numFmtId="167" formatCode="#,##0"/>
    <numFmt numFmtId="168" formatCode="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Noto Sans CJK SC"/>
      <family val="2"/>
    </font>
    <font>
      <b val="true"/>
      <sz val="10"/>
      <color rgb="FF000000"/>
      <name val="Noto Sans CJK SC"/>
      <family val="2"/>
    </font>
    <font>
      <sz val="10"/>
      <color rgb="FF0000FF"/>
      <name val="Noto Sans CJK SC"/>
      <family val="2"/>
    </font>
    <font>
      <sz val="10"/>
      <color rgb="FF0000FF"/>
      <name val="Microsoft JhengHei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Microsoft JhengHei"/>
      <family val="0"/>
      <charset val="1"/>
    </font>
    <font>
      <b val="true"/>
      <sz val="11"/>
      <color rgb="FF000000"/>
      <name val="Noto Sans CJK SC"/>
      <family val="2"/>
    </font>
    <font>
      <b val="true"/>
      <sz val="11"/>
      <color rgb="FF0000FF"/>
      <name val="Microsoft JhengHei"/>
      <family val="0"/>
      <charset val="1"/>
    </font>
    <font>
      <sz val="9"/>
      <color rgb="FF808080"/>
      <name val="Noto Sans CJK SC"/>
      <family val="2"/>
    </font>
    <font>
      <sz val="9"/>
      <color rgb="FF808080"/>
      <name val="Microsoft JhengHei"/>
      <family val="0"/>
      <charset val="1"/>
    </font>
    <font>
      <b val="true"/>
      <sz val="10"/>
      <color rgb="FF000000"/>
      <name val="Microsoft JhengHei"/>
      <family val="0"/>
      <charset val="1"/>
    </font>
    <font>
      <sz val="10"/>
      <color rgb="FF000000"/>
      <name val="Noto Sans CJK SC"/>
      <family val="2"/>
    </font>
    <font>
      <sz val="10"/>
      <color rgb="FF000000"/>
      <name val="Microsoft JhengHei"/>
      <family val="0"/>
      <charset val="1"/>
    </font>
    <font>
      <b val="true"/>
      <sz val="11"/>
      <color rgb="FF000000"/>
      <name val="Microsoft JhengHei"/>
      <family val="0"/>
      <charset val="1"/>
    </font>
    <font>
      <i val="true"/>
      <sz val="9"/>
      <color rgb="FF808080"/>
      <name val="Noto Sans CJK SC"/>
      <family val="2"/>
    </font>
    <font>
      <i val="true"/>
      <sz val="9"/>
      <color rgb="FF808080"/>
      <name val="Microsoft JhengHe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9E1F2"/>
      </patternFill>
    </fill>
    <fill>
      <patternFill patternType="solid">
        <fgColor rgb="FFFCE4D6"/>
        <bgColor rgb="FFFFF2CC"/>
      </patternFill>
    </fill>
    <fill>
      <patternFill patternType="solid">
        <fgColor rgb="FFFFE699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4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4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8"/>
    <col collapsed="false" customWidth="true" hidden="false" outlineLevel="0" max="4" min="4" style="0" width="15"/>
    <col collapsed="false" customWidth="true" hidden="false" outlineLevel="0" max="5" min="5" style="0" width="8"/>
    <col collapsed="false" customWidth="true" hidden="false" outlineLevel="0" max="6" min="6" style="0" width="14"/>
    <col collapsed="false" customWidth="true" hidden="false" outlineLevel="0" max="7" min="7" style="0" width="15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true" outlineLevel="0" collapsed="false">
      <c r="A2" s="2" t="s">
        <v>1</v>
      </c>
      <c r="B2" s="2"/>
      <c r="C2" s="3" t="s">
        <v>2</v>
      </c>
      <c r="D2" s="3"/>
      <c r="E2" s="3"/>
      <c r="F2" s="3"/>
      <c r="G2" s="3"/>
    </row>
    <row r="4" customFormat="false" ht="17.15" hidden="false" customHeight="true" outlineLevel="0" collapsed="false">
      <c r="A4" s="4" t="s">
        <v>3</v>
      </c>
      <c r="B4" s="4"/>
      <c r="C4" s="4"/>
      <c r="D4" s="4"/>
      <c r="E4" s="4"/>
      <c r="F4" s="4"/>
      <c r="G4" s="4"/>
    </row>
    <row r="5" customFormat="false" ht="26.85" hidden="false" customHeight="true" outlineLevel="0" collapsed="false">
      <c r="A5" s="5" t="s">
        <v>4</v>
      </c>
      <c r="B5" s="6" t="n">
        <v>0.5</v>
      </c>
      <c r="C5" s="7" t="s">
        <v>5</v>
      </c>
      <c r="D5" s="7"/>
      <c r="E5" s="7"/>
      <c r="F5" s="7"/>
      <c r="G5" s="7"/>
    </row>
    <row r="6" customFormat="false" ht="15" hidden="false" customHeight="true" outlineLevel="0" collapsed="false">
      <c r="A6" s="5" t="s">
        <v>6</v>
      </c>
      <c r="B6" s="6" t="n">
        <v>0.15</v>
      </c>
      <c r="C6" s="7" t="s">
        <v>7</v>
      </c>
      <c r="D6" s="7"/>
      <c r="E6" s="7"/>
      <c r="F6" s="7"/>
      <c r="G6" s="7"/>
    </row>
    <row r="7" customFormat="false" ht="15" hidden="false" customHeight="true" outlineLevel="0" collapsed="false">
      <c r="A7" s="5" t="s">
        <v>8</v>
      </c>
      <c r="B7" s="6" t="n">
        <v>0.35</v>
      </c>
      <c r="C7" s="7" t="s">
        <v>9</v>
      </c>
      <c r="D7" s="7"/>
      <c r="E7" s="7"/>
      <c r="F7" s="7"/>
      <c r="G7" s="7"/>
    </row>
    <row r="9" customFormat="false" ht="17.15" hidden="false" customHeight="true" outlineLevel="0" collapsed="false">
      <c r="A9" s="4" t="s">
        <v>10</v>
      </c>
      <c r="B9" s="4"/>
      <c r="C9" s="4"/>
      <c r="D9" s="4"/>
      <c r="E9" s="4"/>
      <c r="F9" s="4"/>
      <c r="G9" s="4"/>
    </row>
    <row r="10" customFormat="false" ht="30" hidden="false" customHeight="true" outlineLevel="0" collapsed="false">
      <c r="A10" s="8" t="s">
        <v>11</v>
      </c>
      <c r="B10" s="8" t="s">
        <v>12</v>
      </c>
      <c r="C10" s="8" t="s">
        <v>13</v>
      </c>
      <c r="D10" s="9" t="s">
        <v>14</v>
      </c>
      <c r="E10" s="8" t="s">
        <v>15</v>
      </c>
      <c r="F10" s="9" t="s">
        <v>16</v>
      </c>
      <c r="G10" s="9" t="s">
        <v>17</v>
      </c>
    </row>
    <row r="11" customFormat="false" ht="15" hidden="false" customHeight="false" outlineLevel="0" collapsed="false">
      <c r="A11" s="10" t="s">
        <v>18</v>
      </c>
      <c r="B11" s="11" t="s">
        <v>19</v>
      </c>
      <c r="C11" s="12" t="n">
        <v>5</v>
      </c>
      <c r="D11" s="13" t="n">
        <v>20000</v>
      </c>
      <c r="E11" s="14" t="n">
        <v>2</v>
      </c>
      <c r="F11" s="15" t="n">
        <f aca="false">C11*D11</f>
        <v>100000</v>
      </c>
      <c r="G11" s="15" t="n">
        <f aca="false">F11*(1+E11)</f>
        <v>300000</v>
      </c>
    </row>
    <row r="12" customFormat="false" ht="15" hidden="false" customHeight="false" outlineLevel="0" collapsed="false">
      <c r="A12" s="10" t="s">
        <v>20</v>
      </c>
      <c r="B12" s="16" t="s">
        <v>21</v>
      </c>
      <c r="C12" s="12" t="n">
        <v>7</v>
      </c>
      <c r="D12" s="13" t="n">
        <v>20000</v>
      </c>
      <c r="E12" s="14" t="n">
        <v>2</v>
      </c>
      <c r="F12" s="15" t="n">
        <f aca="false">C12*D12</f>
        <v>140000</v>
      </c>
      <c r="G12" s="15" t="n">
        <f aca="false">F12*(1+E12)</f>
        <v>420000</v>
      </c>
    </row>
    <row r="13" customFormat="false" ht="15" hidden="false" customHeight="false" outlineLevel="0" collapsed="false">
      <c r="A13" s="10" t="s">
        <v>22</v>
      </c>
      <c r="B13" s="16" t="s">
        <v>23</v>
      </c>
      <c r="C13" s="12" t="n">
        <v>1</v>
      </c>
      <c r="D13" s="13" t="n">
        <v>20000</v>
      </c>
      <c r="E13" s="14" t="n">
        <v>2</v>
      </c>
      <c r="F13" s="15" t="n">
        <f aca="false">C13*D13</f>
        <v>20000</v>
      </c>
      <c r="G13" s="15" t="n">
        <f aca="false">F13*(1+E13)</f>
        <v>60000</v>
      </c>
    </row>
    <row r="14" customFormat="false" ht="29.85" hidden="false" customHeight="false" outlineLevel="0" collapsed="false">
      <c r="A14" s="10" t="s">
        <v>24</v>
      </c>
      <c r="B14" s="16" t="s">
        <v>23</v>
      </c>
      <c r="C14" s="12" t="n">
        <v>7.5</v>
      </c>
      <c r="D14" s="13" t="n">
        <v>20000</v>
      </c>
      <c r="E14" s="14" t="n">
        <v>2</v>
      </c>
      <c r="F14" s="15" t="n">
        <f aca="false">C14*D14</f>
        <v>150000</v>
      </c>
      <c r="G14" s="15" t="n">
        <f aca="false">F14*(1+E14)</f>
        <v>450000</v>
      </c>
    </row>
    <row r="15" customFormat="false" ht="15" hidden="false" customHeight="false" outlineLevel="0" collapsed="false">
      <c r="A15" s="10" t="s">
        <v>25</v>
      </c>
      <c r="B15" s="11" t="s">
        <v>19</v>
      </c>
      <c r="C15" s="12" t="n">
        <v>5</v>
      </c>
      <c r="D15" s="13" t="n">
        <v>20000</v>
      </c>
      <c r="E15" s="14" t="n">
        <v>2</v>
      </c>
      <c r="F15" s="15" t="n">
        <f aca="false">C15*D15</f>
        <v>100000</v>
      </c>
      <c r="G15" s="15" t="n">
        <f aca="false">F15*(1+E15)</f>
        <v>300000</v>
      </c>
    </row>
    <row r="16" customFormat="false" ht="15" hidden="false" customHeight="false" outlineLevel="0" collapsed="false">
      <c r="A16" s="17" t="s">
        <v>26</v>
      </c>
      <c r="B16" s="16" t="s">
        <v>23</v>
      </c>
      <c r="C16" s="12" t="n">
        <v>1</v>
      </c>
      <c r="D16" s="13" t="n">
        <v>20000</v>
      </c>
      <c r="E16" s="14" t="n">
        <v>2</v>
      </c>
      <c r="F16" s="15" t="n">
        <f aca="false">C16*D16</f>
        <v>20000</v>
      </c>
      <c r="G16" s="15" t="n">
        <f aca="false">F16*(1+E16)</f>
        <v>60000</v>
      </c>
    </row>
    <row r="17" customFormat="false" ht="15" hidden="false" customHeight="false" outlineLevel="0" collapsed="false">
      <c r="A17" s="17" t="s">
        <v>27</v>
      </c>
      <c r="B17" s="16" t="s">
        <v>23</v>
      </c>
      <c r="C17" s="12" t="n">
        <v>1</v>
      </c>
      <c r="D17" s="13" t="n">
        <v>20000</v>
      </c>
      <c r="E17" s="14" t="n">
        <v>2</v>
      </c>
      <c r="F17" s="15" t="n">
        <f aca="false">C17*D17</f>
        <v>20000</v>
      </c>
      <c r="G17" s="15" t="n">
        <f aca="false">F17*(1+E17)</f>
        <v>60000</v>
      </c>
    </row>
    <row r="18" customFormat="false" ht="15" hidden="false" customHeight="false" outlineLevel="0" collapsed="false">
      <c r="A18" s="10" t="s">
        <v>28</v>
      </c>
      <c r="B18" s="11" t="s">
        <v>29</v>
      </c>
      <c r="C18" s="12" t="n">
        <v>5</v>
      </c>
      <c r="D18" s="13" t="n">
        <v>20000</v>
      </c>
      <c r="E18" s="14" t="n">
        <v>2</v>
      </c>
      <c r="F18" s="15" t="n">
        <f aca="false">C18*D18</f>
        <v>100000</v>
      </c>
      <c r="G18" s="15" t="n">
        <f aca="false">F18*(1+E18)</f>
        <v>300000</v>
      </c>
    </row>
    <row r="19" customFormat="false" ht="15" hidden="false" customHeight="false" outlineLevel="0" collapsed="false">
      <c r="A19" s="18" t="s">
        <v>30</v>
      </c>
      <c r="B19" s="18"/>
      <c r="C19" s="19" t="n">
        <f aca="false">SUM(C11:C18)</f>
        <v>32.5</v>
      </c>
      <c r="D19" s="20"/>
      <c r="E19" s="20"/>
      <c r="F19" s="21" t="n">
        <f aca="false">SUM(F11:F18)</f>
        <v>650000</v>
      </c>
      <c r="G19" s="21" t="n">
        <f aca="false">SUM(G11:G18)</f>
        <v>1950000</v>
      </c>
    </row>
    <row r="21" customFormat="false" ht="17.15" hidden="false" customHeight="true" outlineLevel="0" collapsed="false">
      <c r="A21" s="4" t="s">
        <v>31</v>
      </c>
      <c r="B21" s="4"/>
      <c r="C21" s="4"/>
      <c r="D21" s="4"/>
      <c r="E21" s="4"/>
      <c r="F21" s="4"/>
      <c r="G21" s="4"/>
    </row>
    <row r="22" customFormat="false" ht="15" hidden="false" customHeight="true" outlineLevel="0" collapsed="false">
      <c r="A22" s="22" t="s">
        <v>32</v>
      </c>
      <c r="B22" s="22"/>
      <c r="C22" s="22"/>
      <c r="D22" s="22"/>
      <c r="E22" s="22"/>
      <c r="F22" s="22"/>
      <c r="G22" s="15" t="n">
        <f aca="false">F19</f>
        <v>650000</v>
      </c>
    </row>
    <row r="23" customFormat="false" ht="15" hidden="false" customHeight="true" outlineLevel="0" collapsed="false">
      <c r="A23" s="22" t="s">
        <v>33</v>
      </c>
      <c r="B23" s="22"/>
      <c r="C23" s="22"/>
      <c r="D23" s="22"/>
      <c r="E23" s="22"/>
      <c r="F23" s="22"/>
      <c r="G23" s="15" t="n">
        <f aca="false">G22*B5</f>
        <v>325000</v>
      </c>
    </row>
    <row r="24" customFormat="false" ht="15" hidden="false" customHeight="true" outlineLevel="0" collapsed="false">
      <c r="A24" s="23" t="s">
        <v>34</v>
      </c>
      <c r="B24" s="23"/>
      <c r="C24" s="23"/>
      <c r="D24" s="23"/>
      <c r="E24" s="23"/>
      <c r="F24" s="23"/>
      <c r="G24" s="24" t="n">
        <f aca="false">G22+G23</f>
        <v>975000</v>
      </c>
    </row>
    <row r="25" customFormat="false" ht="15" hidden="false" customHeight="true" outlineLevel="0" collapsed="false">
      <c r="A25" s="22" t="s">
        <v>35</v>
      </c>
      <c r="B25" s="22"/>
      <c r="C25" s="22"/>
      <c r="D25" s="22"/>
      <c r="E25" s="22"/>
      <c r="F25" s="22"/>
      <c r="G25" s="15" t="n">
        <f aca="false">G24*B6</f>
        <v>146250</v>
      </c>
    </row>
    <row r="26" customFormat="false" ht="15" hidden="false" customHeight="true" outlineLevel="0" collapsed="false">
      <c r="A26" s="25" t="s">
        <v>36</v>
      </c>
      <c r="B26" s="25"/>
      <c r="C26" s="25"/>
      <c r="D26" s="25"/>
      <c r="E26" s="25"/>
      <c r="F26" s="25"/>
      <c r="G26" s="26" t="n">
        <f aca="false">G24+G25</f>
        <v>1121250</v>
      </c>
    </row>
    <row r="28" customFormat="false" ht="15" hidden="false" customHeight="false" outlineLevel="0" collapsed="false">
      <c r="A28" s="27" t="s">
        <v>37</v>
      </c>
      <c r="B28" s="27"/>
      <c r="C28" s="27"/>
      <c r="D28" s="27"/>
      <c r="E28" s="27"/>
      <c r="F28" s="27"/>
      <c r="G28" s="28" t="n">
        <f aca="false">G19</f>
        <v>1950000</v>
      </c>
    </row>
    <row r="29" customFormat="false" ht="15" hidden="false" customHeight="true" outlineLevel="0" collapsed="false">
      <c r="A29" s="22" t="s">
        <v>38</v>
      </c>
      <c r="B29" s="22"/>
      <c r="C29" s="22"/>
      <c r="D29" s="22"/>
      <c r="E29" s="22"/>
      <c r="F29" s="22"/>
      <c r="G29" s="15" t="n">
        <f aca="false">G28-G22</f>
        <v>1300000</v>
      </c>
    </row>
    <row r="30" customFormat="false" ht="15" hidden="false" customHeight="true" outlineLevel="0" collapsed="false">
      <c r="A30" s="22" t="s">
        <v>39</v>
      </c>
      <c r="B30" s="22"/>
      <c r="C30" s="22"/>
      <c r="D30" s="22"/>
      <c r="E30" s="22"/>
      <c r="F30" s="22"/>
      <c r="G30" s="29" t="n">
        <f aca="false">IFERROR((G28-G22)/G28,0)</f>
        <v>0.666666666666667</v>
      </c>
    </row>
    <row r="31" customFormat="false" ht="15" hidden="false" customHeight="true" outlineLevel="0" collapsed="false">
      <c r="A31" s="30" t="s">
        <v>40</v>
      </c>
      <c r="B31" s="30"/>
      <c r="C31" s="30"/>
      <c r="D31" s="30"/>
      <c r="E31" s="30"/>
      <c r="F31" s="30"/>
      <c r="G31" s="31" t="n">
        <f aca="false">G28-G26</f>
        <v>828750</v>
      </c>
    </row>
    <row r="32" customFormat="false" ht="15" hidden="false" customHeight="true" outlineLevel="0" collapsed="false">
      <c r="A32" s="30" t="s">
        <v>41</v>
      </c>
      <c r="B32" s="30"/>
      <c r="C32" s="30"/>
      <c r="D32" s="30"/>
      <c r="E32" s="30"/>
      <c r="F32" s="30"/>
      <c r="G32" s="32" t="n">
        <f aca="false">IFERROR((G28-G26)/G28,0)</f>
        <v>0.425</v>
      </c>
    </row>
    <row r="34" customFormat="false" ht="15" hidden="false" customHeight="true" outlineLevel="0" collapsed="false">
      <c r="A34" s="22" t="s">
        <v>42</v>
      </c>
      <c r="B34" s="22"/>
      <c r="C34" s="22"/>
      <c r="D34" s="22"/>
      <c r="E34" s="22"/>
      <c r="F34" s="22"/>
      <c r="G34" s="15" t="n">
        <f aca="false">G26/(1-B7)</f>
        <v>1725000</v>
      </c>
    </row>
    <row r="35" customFormat="false" ht="15" hidden="false" customHeight="true" outlineLevel="0" collapsed="false">
      <c r="A35" s="22" t="s">
        <v>43</v>
      </c>
      <c r="B35" s="22"/>
      <c r="C35" s="22"/>
      <c r="D35" s="22"/>
      <c r="E35" s="22"/>
      <c r="F35" s="22"/>
      <c r="G35" s="15" t="n">
        <f aca="false">G28-G34</f>
        <v>225000</v>
      </c>
    </row>
    <row r="36" customFormat="false" ht="15" hidden="false" customHeight="true" outlineLevel="0" collapsed="false">
      <c r="A36" s="33" t="s">
        <v>44</v>
      </c>
      <c r="B36" s="33"/>
      <c r="C36" s="33"/>
      <c r="D36" s="33"/>
      <c r="E36" s="33"/>
      <c r="F36" s="33"/>
      <c r="G36" s="33"/>
    </row>
    <row r="38" customFormat="false" ht="17.15" hidden="false" customHeight="true" outlineLevel="0" collapsed="false">
      <c r="A38" s="4" t="s">
        <v>45</v>
      </c>
      <c r="B38" s="4"/>
      <c r="C38" s="4"/>
      <c r="D38" s="4"/>
      <c r="E38" s="4"/>
      <c r="F38" s="4"/>
      <c r="G38" s="4"/>
    </row>
    <row r="39" customFormat="false" ht="15" hidden="false" customHeight="true" outlineLevel="0" collapsed="false">
      <c r="A39" s="22" t="s">
        <v>46</v>
      </c>
      <c r="B39" s="22"/>
      <c r="C39" s="22"/>
      <c r="D39" s="22"/>
      <c r="E39" s="22"/>
      <c r="F39" s="22"/>
      <c r="G39" s="15" t="n">
        <f aca="false">G28</f>
        <v>1950000</v>
      </c>
    </row>
    <row r="40" customFormat="false" ht="15" hidden="false" customHeight="true" outlineLevel="0" collapsed="false">
      <c r="A40" s="22" t="s">
        <v>47</v>
      </c>
      <c r="B40" s="22"/>
      <c r="C40" s="22"/>
      <c r="D40" s="22"/>
      <c r="E40" s="22"/>
      <c r="F40" s="22"/>
      <c r="G40" s="15" t="n">
        <f aca="false">G28*5%</f>
        <v>97500</v>
      </c>
    </row>
    <row r="41" customFormat="false" ht="17.15" hidden="false" customHeight="true" outlineLevel="0" collapsed="false">
      <c r="A41" s="34" t="s">
        <v>48</v>
      </c>
      <c r="B41" s="34"/>
      <c r="C41" s="34"/>
      <c r="D41" s="34"/>
      <c r="E41" s="34"/>
      <c r="F41" s="34"/>
      <c r="G41" s="21" t="n">
        <f aca="false">G39+G40</f>
        <v>2047500</v>
      </c>
    </row>
    <row r="43" customFormat="false" ht="15" hidden="false" customHeight="true" outlineLevel="0" collapsed="false">
      <c r="A43" s="33" t="s">
        <v>49</v>
      </c>
      <c r="B43" s="33"/>
      <c r="C43" s="33"/>
      <c r="D43" s="33"/>
      <c r="E43" s="33"/>
      <c r="F43" s="33"/>
      <c r="G43" s="33"/>
    </row>
  </sheetData>
  <mergeCells count="28">
    <mergeCell ref="A1:G1"/>
    <mergeCell ref="A2:B2"/>
    <mergeCell ref="C2:G2"/>
    <mergeCell ref="A4:G4"/>
    <mergeCell ref="C5:G5"/>
    <mergeCell ref="C6:G6"/>
    <mergeCell ref="C7:G7"/>
    <mergeCell ref="A9:G9"/>
    <mergeCell ref="A19:B19"/>
    <mergeCell ref="A21:G21"/>
    <mergeCell ref="A22:F22"/>
    <mergeCell ref="A23:F23"/>
    <mergeCell ref="A24:F24"/>
    <mergeCell ref="A25:F25"/>
    <mergeCell ref="A26:F26"/>
    <mergeCell ref="A28:F28"/>
    <mergeCell ref="A29:F29"/>
    <mergeCell ref="A30:F30"/>
    <mergeCell ref="A31:F31"/>
    <mergeCell ref="A32:F32"/>
    <mergeCell ref="A34:F34"/>
    <mergeCell ref="A35:F35"/>
    <mergeCell ref="A36:G36"/>
    <mergeCell ref="A38:G38"/>
    <mergeCell ref="A39:F39"/>
    <mergeCell ref="A40:F40"/>
    <mergeCell ref="A41:F41"/>
    <mergeCell ref="A43:G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2026-06-16T09:10:26Z</dcterms:created>
  <dc:creator>openpyxl</dc:creator>
  <dc:description/>
  <dc:language>en-US</dc:language>
  <cp:lastModifiedBy/>
  <dcterms:modified xsi:type="dcterms:W3CDTF">2026-06-16T09:10:26Z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