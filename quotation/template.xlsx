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8cf8c07a558e41/國產/第三期/"/>
    </mc:Choice>
  </mc:AlternateContent>
  <xr:revisionPtr revIDLastSave="240" documentId="8_{162B6EA6-3124-486D-824D-0B957035715C}" xr6:coauthVersionLast="47" xr6:coauthVersionMax="47" xr10:uidLastSave="{9281B8F6-2E48-4139-886E-E0F84FFBC2E7}"/>
  <bookViews>
    <workbookView xWindow="-120" yWindow="-120" windowWidth="29040" windowHeight="15720" xr2:uid="{00000000-000D-0000-FFFF-FFFF00000000}"/>
  </bookViews>
  <sheets>
    <sheet name="工作表1" sheetId="7" r:id="rId1"/>
  </sheets>
  <definedNames>
    <definedName name="_xlnm.Print_Area" localSheetId="0">工作表1!$A$1:$K$60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7" l="1"/>
  <c r="K20" i="7"/>
  <c r="K15" i="7"/>
  <c r="J44" i="7" l="1"/>
  <c r="J46" i="7" s="1"/>
  <c r="J47" i="7" s="1"/>
  <c r="J48" i="7" s="1"/>
</calcChain>
</file>

<file path=xl/sharedStrings.xml><?xml version="1.0" encoding="utf-8"?>
<sst xmlns="http://schemas.openxmlformats.org/spreadsheetml/2006/main" count="60" uniqueCount="57">
  <si>
    <t>摯陞數位科技有限公司</t>
    <phoneticPr fontId="2" type="noConversion"/>
  </si>
  <si>
    <t>SLAB Digital Technology Co., Ltd.</t>
    <phoneticPr fontId="2" type="noConversion"/>
  </si>
  <si>
    <t>Information Technology Research . Support . Develop . Network . Security . Service.</t>
    <phoneticPr fontId="2" type="noConversion"/>
  </si>
  <si>
    <t>www.slab.com.tw</t>
    <phoneticPr fontId="2" type="noConversion"/>
  </si>
  <si>
    <t>報價單 / QUOTATION</t>
    <phoneticPr fontId="2" type="noConversion"/>
  </si>
  <si>
    <t>客戶名稱：</t>
    <phoneticPr fontId="2" type="noConversion"/>
  </si>
  <si>
    <t>聯絡人：</t>
    <phoneticPr fontId="2" type="noConversion"/>
  </si>
  <si>
    <t>報價日期：</t>
    <phoneticPr fontId="2" type="noConversion"/>
  </si>
  <si>
    <t>客戶統編：</t>
    <phoneticPr fontId="2" type="noConversion"/>
  </si>
  <si>
    <t>聯絡人電話：</t>
    <phoneticPr fontId="2" type="noConversion"/>
  </si>
  <si>
    <t>報價單號：</t>
    <phoneticPr fontId="2" type="noConversion"/>
  </si>
  <si>
    <t>客戶電話：</t>
    <phoneticPr fontId="2" type="noConversion"/>
  </si>
  <si>
    <t>送貨地址：</t>
    <phoneticPr fontId="2" type="noConversion"/>
  </si>
  <si>
    <t>交貨日期：</t>
    <phoneticPr fontId="2" type="noConversion"/>
  </si>
  <si>
    <t>客戶傳真：</t>
    <phoneticPr fontId="2" type="noConversion"/>
  </si>
  <si>
    <t>幣別：新台幣(NTD)</t>
    <phoneticPr fontId="2" type="noConversion"/>
  </si>
  <si>
    <t>客戶地址：</t>
    <phoneticPr fontId="2" type="noConversion"/>
  </si>
  <si>
    <t>付款條件：T/T</t>
    <phoneticPr fontId="2" type="noConversion"/>
  </si>
  <si>
    <t>序號</t>
    <phoneticPr fontId="2" type="noConversion"/>
  </si>
  <si>
    <t>品　　　　名　/　規　　　　格</t>
    <phoneticPr fontId="2" type="noConversion"/>
  </si>
  <si>
    <t>數量</t>
    <phoneticPr fontId="2" type="noConversion"/>
  </si>
  <si>
    <t>單價</t>
    <phoneticPr fontId="2" type="noConversion"/>
  </si>
  <si>
    <t>總價</t>
    <phoneticPr fontId="2" type="noConversion"/>
  </si>
  <si>
    <t xml:space="preserve">
</t>
    <phoneticPr fontId="2" type="noConversion"/>
  </si>
  <si>
    <t>***********************************以下空白*****************************</t>
    <phoneticPr fontId="2" type="noConversion"/>
  </si>
  <si>
    <t>總價小計</t>
    <phoneticPr fontId="2" type="noConversion"/>
  </si>
  <si>
    <t>銷貨折讓</t>
    <phoneticPr fontId="2" type="noConversion"/>
  </si>
  <si>
    <t>合計金額</t>
    <phoneticPr fontId="2" type="noConversion"/>
  </si>
  <si>
    <t>營業稅</t>
    <phoneticPr fontId="2" type="noConversion"/>
  </si>
  <si>
    <t>總計金額</t>
    <phoneticPr fontId="2" type="noConversion"/>
  </si>
  <si>
    <t>客戶確認簽回</t>
    <phoneticPr fontId="2" type="noConversion"/>
  </si>
  <si>
    <t>敬請加蓋公司章</t>
    <phoneticPr fontId="2" type="noConversion"/>
  </si>
  <si>
    <t>統一編號：50950119</t>
    <phoneticPr fontId="2" type="noConversion"/>
  </si>
  <si>
    <t>傳真：(07) 721-1154</t>
    <phoneticPr fontId="2" type="noConversion"/>
  </si>
  <si>
    <t>電話：(07)722-3691</t>
    <phoneticPr fontId="2" type="noConversion"/>
  </si>
  <si>
    <t>負責業務：</t>
    <phoneticPr fontId="2" type="noConversion"/>
  </si>
  <si>
    <t>周渟芬</t>
    <phoneticPr fontId="2" type="noConversion"/>
  </si>
  <si>
    <t>E-Mail：Daffy@mail.slab.com.tw</t>
    <phoneticPr fontId="2" type="noConversion"/>
  </si>
  <si>
    <t>地址：高雄市苓雅區四維二路４號</t>
    <phoneticPr fontId="2" type="noConversion"/>
  </si>
  <si>
    <t>1. 本報價單有效期14日。
2. 超出上述工項及設備能力範圍，則另外報價採購。</t>
    <phoneticPr fontId="2" type="noConversion"/>
  </si>
  <si>
    <t>備註：</t>
    <phoneticPr fontId="2" type="noConversion"/>
  </si>
  <si>
    <t>1. 買方於本報價單上簽名及用印傳真回本公司者，視為雙方成立正式訂單；如買方拒絕履行該訂單，買方應賠償本公司訂單金額15%之費用。
2. 買方收貨後應即檢查產品之外觀、包裝、數量，如有不符，應於收貨後5個工作天內依本公司新品換貨之規定及流程辦理換貨。
3. 產品於完成交貨安裝後二周內由雙方確認驗收。
4. 於買方未付清貨款前，產品所有權仍屬於本公司所有。</t>
    <phoneticPr fontId="2" type="noConversion"/>
  </si>
  <si>
    <t>一般條件：</t>
    <phoneticPr fontId="2" type="noConversion"/>
  </si>
  <si>
    <t>114/11/24</t>
    <phoneticPr fontId="2" type="noConversion"/>
  </si>
  <si>
    <t>QT-20251124-001</t>
    <phoneticPr fontId="2" type="noConversion"/>
  </si>
  <si>
    <t>槍型監視器夾具(個)</t>
    <phoneticPr fontId="2" type="noConversion"/>
  </si>
  <si>
    <t>海發國際船舶安全管理顧問有限公司</t>
    <phoneticPr fontId="2" type="noConversion"/>
  </si>
  <si>
    <t>07-2228886</t>
    <phoneticPr fontId="2" type="noConversion"/>
  </si>
  <si>
    <t>07-2223085</t>
    <phoneticPr fontId="2" type="noConversion"/>
  </si>
  <si>
    <t>高雄市新興區民權一路251號13樓之2</t>
    <phoneticPr fontId="2" type="noConversion"/>
  </si>
  <si>
    <t>陳炳宏 先生</t>
    <phoneticPr fontId="2" type="noConversion"/>
  </si>
  <si>
    <t>槍型監視器</t>
    <phoneticPr fontId="2" type="noConversion"/>
  </si>
  <si>
    <t>景順右舷梯口</t>
    <phoneticPr fontId="2" type="noConversion"/>
  </si>
  <si>
    <t>景順2號貨艙</t>
    <phoneticPr fontId="2" type="noConversion"/>
  </si>
  <si>
    <t>豐順4號貨艙</t>
    <phoneticPr fontId="2" type="noConversion"/>
  </si>
  <si>
    <t>PTZ球型數位鏡頭</t>
    <phoneticPr fontId="2" type="noConversion"/>
  </si>
  <si>
    <t>豐順前桅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</si>
</sst>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76" formatCode="_-&quot;$&quot;* #,##0_-;\-&quot;$&quot;* #,##0_-;_-&quot;$&quot;* &quot;-&quot;??_-;_-@_-"/>
  </numFmts>
  <fonts count="1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8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26"/>
      <name val="微軟正黑體"/>
      <family val="2"/>
      <charset val="136"/>
    </font>
    <font>
      <sz val="12"/>
      <color rgb="FF363636"/>
      <name val="微軟正黑體"/>
      <family val="2"/>
      <charset val="136"/>
    </font>
    <font>
      <sz val="10"/>
      <name val="微軟正黑體"/>
      <family val="2"/>
      <charset val="136"/>
    </font>
    <font>
      <u/>
      <sz val="12"/>
      <color theme="1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/>
      <bottom/>
      <diagonal/>
    </border>
    <border>
      <left style="medium">
        <color rgb="FFC00000"/>
      </left>
      <right style="thin">
        <color rgb="FFC00000"/>
      </right>
      <top/>
      <bottom style="medium">
        <color rgb="FFC00000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medium">
        <color rgb="FFC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top"/>
    </xf>
    <xf numFmtId="0" fontId="3" fillId="0" borderId="30" xfId="0" applyFont="1" applyBorder="1" applyAlignment="1">
      <alignment vertical="center"/>
    </xf>
    <xf numFmtId="0" fontId="8" fillId="0" borderId="0" xfId="0" applyFont="1"/>
    <xf numFmtId="0" fontId="0" fillId="0" borderId="13" xfId="0" applyBorder="1"/>
    <xf numFmtId="0" fontId="0" fillId="0" borderId="24" xfId="0" applyBorder="1"/>
    <xf numFmtId="0" fontId="0" fillId="0" borderId="29" xfId="0" applyBorder="1"/>
    <xf numFmtId="0" fontId="3" fillId="0" borderId="21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0" fillId="0" borderId="32" xfId="0" applyBorder="1"/>
    <xf numFmtId="0" fontId="3" fillId="0" borderId="33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11" fillId="0" borderId="0" xfId="2" applyAlignment="1">
      <alignment vertical="center"/>
    </xf>
    <xf numFmtId="0" fontId="3" fillId="0" borderId="0" xfId="0" quotePrefix="1" applyFont="1"/>
    <xf numFmtId="0" fontId="3" fillId="0" borderId="24" xfId="0" applyFont="1" applyBorder="1" applyAlignment="1">
      <alignment horizontal="center" vertical="center"/>
    </xf>
    <xf numFmtId="176" fontId="3" fillId="0" borderId="24" xfId="1" applyNumberFormat="1" applyFont="1" applyBorder="1"/>
    <xf numFmtId="176" fontId="3" fillId="0" borderId="29" xfId="1" applyNumberFormat="1" applyFont="1" applyBorder="1"/>
    <xf numFmtId="3" fontId="3" fillId="0" borderId="24" xfId="0" applyNumberFormat="1" applyFont="1" applyBorder="1" applyAlignment="1">
      <alignment horizontal="center" vertical="center"/>
    </xf>
    <xf numFmtId="49" fontId="3" fillId="0" borderId="0" xfId="0" applyNumberFormat="1" applyFont="1"/>
    <xf numFmtId="176" fontId="3" fillId="0" borderId="29" xfId="1" applyNumberFormat="1" applyFont="1" applyBorder="1" applyAlignment="1">
      <alignment wrapText="1"/>
    </xf>
    <xf numFmtId="0" fontId="3" fillId="0" borderId="21" xfId="0" applyFont="1" applyBorder="1" applyAlignment="1">
      <alignment horizontal="center" vertical="center"/>
    </xf>
    <xf numFmtId="0" fontId="10" fillId="0" borderId="0" xfId="0" applyFont="1"/>
    <xf numFmtId="0" fontId="9" fillId="0" borderId="0" xfId="0" quotePrefix="1" applyFont="1"/>
    <xf numFmtId="0" fontId="3" fillId="0" borderId="0" xfId="0" applyFont="1" applyAlignment="1">
      <alignment horizontal="left" indent="1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76" fontId="3" fillId="0" borderId="28" xfId="1" applyNumberFormat="1" applyFont="1" applyBorder="1" applyAlignment="1">
      <alignment horizontal="right" vertical="center"/>
    </xf>
    <xf numFmtId="6" fontId="3" fillId="0" borderId="14" xfId="1" applyNumberFormat="1" applyFont="1" applyBorder="1" applyAlignment="1">
      <alignment horizontal="right" vertical="center"/>
    </xf>
    <xf numFmtId="176" fontId="3" fillId="0" borderId="15" xfId="1" applyNumberFormat="1" applyFont="1" applyBorder="1" applyAlignment="1">
      <alignment horizontal="right" vertical="center"/>
    </xf>
    <xf numFmtId="176" fontId="3" fillId="0" borderId="16" xfId="1" applyNumberFormat="1" applyFont="1" applyBorder="1" applyAlignment="1">
      <alignment horizontal="right" vertical="center"/>
    </xf>
    <xf numFmtId="176" fontId="3" fillId="0" borderId="17" xfId="1" applyNumberFormat="1" applyFont="1" applyBorder="1" applyAlignment="1">
      <alignment horizontal="right" vertical="center"/>
    </xf>
    <xf numFmtId="176" fontId="3" fillId="0" borderId="18" xfId="1" applyNumberFormat="1" applyFont="1" applyBorder="1" applyAlignment="1">
      <alignment horizontal="right" vertical="center"/>
    </xf>
    <xf numFmtId="176" fontId="7" fillId="0" borderId="15" xfId="1" applyNumberFormat="1" applyFont="1" applyBorder="1" applyAlignment="1">
      <alignment horizontal="right" vertical="center"/>
    </xf>
    <xf numFmtId="176" fontId="7" fillId="0" borderId="16" xfId="1" applyNumberFormat="1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3">
    <cellStyle name="一般" xfId="0" builtinId="0"/>
    <cellStyle name="貨幣" xfId="1" builtinId="4"/>
    <cellStyle name="超連結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1006940</xdr:colOff>
      <xdr:row>37</xdr:row>
      <xdr:rowOff>79375</xdr:rowOff>
    </xdr:from>
    <xdr:to>
      <xdr:col>7</xdr:col>
      <xdr:colOff>466725</xdr:colOff>
      <xdr:row>42</xdr:row>
      <xdr:rowOff>168275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8D1049D-4E69-5C4A-A619-4FD0A7F2F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7940" y="7423150"/>
          <a:ext cx="1336210" cy="118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0</xdr:row>
      <xdr:rowOff>190500</xdr:rowOff>
    </xdr:from>
    <xdr:to>
      <xdr:col>3</xdr:col>
      <xdr:colOff>847725</xdr:colOff>
      <xdr:row>2</xdr:row>
      <xdr:rowOff>238125</xdr:rowOff>
    </xdr:to>
    <xdr:pic>
      <xdr:nvPicPr>
        <xdr:cNvPr id="3" name="圖形 2">
          <a:extLst>
            <a:ext uri="{FF2B5EF4-FFF2-40B4-BE49-F238E27FC236}">
              <a16:creationId xmlns:a16="http://schemas.microsoft.com/office/drawing/2014/main" id="{ED8A32D6-81AA-45F9-A631-53344B877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171700" y="190500"/>
          <a:ext cx="638175" cy="685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60"/>
  <sheetViews>
    <sheetView tabSelected="1" showWhiteSpace="0" view="pageLayout" topLeftCell="A8" zoomScaleNormal="100" workbookViewId="0">
      <selection activeCell="N21" sqref="N21"/>
    </sheetView>
  </sheetViews>
  <sheetFormatPr defaultColWidth="8.875" defaultRowHeight="16.5" x14ac:dyDescent="0.25"/>
  <cols>
    <col min="1" max="1" width="10.75" customWidth="1"/>
    <col min="2" max="2" width="9" customWidth="1"/>
    <col min="4" max="4" width="19.25" customWidth="1"/>
    <col min="5" max="5" width="12.625" customWidth="1"/>
    <col min="6" max="6" width="16" customWidth="1"/>
    <col min="7" max="7" width="8.625" customWidth="1"/>
    <col min="8" max="8" width="11.875" customWidth="1"/>
    <col min="9" max="9" width="10.375" customWidth="1"/>
    <col min="10" max="10" width="14.625" customWidth="1"/>
    <col min="11" max="11" width="12.375" customWidth="1"/>
  </cols>
  <sheetData>
    <row r="2" spans="1:11" ht="33.75" x14ac:dyDescent="0.5">
      <c r="C2" s="22"/>
      <c r="D2" s="22"/>
      <c r="E2" s="22" t="s">
        <v>0</v>
      </c>
    </row>
    <row r="3" spans="1:11" ht="21" x14ac:dyDescent="0.35">
      <c r="A3" s="2"/>
      <c r="B3" s="2"/>
      <c r="C3" s="4"/>
      <c r="D3" s="4"/>
      <c r="E3" s="4" t="s">
        <v>1</v>
      </c>
      <c r="F3" s="2"/>
      <c r="G3" s="2"/>
      <c r="H3" s="2"/>
      <c r="I3" s="2"/>
      <c r="J3" s="2"/>
      <c r="K3" s="2"/>
    </row>
    <row r="4" spans="1:11" x14ac:dyDescent="0.25">
      <c r="A4" s="1"/>
      <c r="B4" s="1" t="s">
        <v>2</v>
      </c>
      <c r="J4" t="s">
        <v>3</v>
      </c>
    </row>
    <row r="6" spans="1:11" ht="23.25" x14ac:dyDescent="0.35">
      <c r="A6" s="51" t="s">
        <v>4</v>
      </c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1" ht="18.75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" t="s">
        <v>5</v>
      </c>
      <c r="B8" s="69" t="s">
        <v>46</v>
      </c>
      <c r="C8" s="69"/>
      <c r="D8" s="69"/>
      <c r="E8" s="1" t="s">
        <v>6</v>
      </c>
      <c r="F8" s="1" t="s">
        <v>50</v>
      </c>
      <c r="G8" s="1"/>
      <c r="H8" s="1"/>
      <c r="I8" s="1" t="s">
        <v>7</v>
      </c>
      <c r="J8" s="1" t="s">
        <v>43</v>
      </c>
      <c r="K8" s="18"/>
    </row>
    <row r="9" spans="1:11" x14ac:dyDescent="0.25">
      <c r="A9" s="1" t="s">
        <v>8</v>
      </c>
      <c r="B9" s="69">
        <v>13171717</v>
      </c>
      <c r="C9" s="69"/>
      <c r="D9" s="1"/>
      <c r="E9" s="1" t="s">
        <v>9</v>
      </c>
      <c r="G9" s="1"/>
      <c r="H9" s="1"/>
      <c r="I9" s="1" t="s">
        <v>10</v>
      </c>
      <c r="J9" s="34" t="s">
        <v>44</v>
      </c>
      <c r="K9" s="19"/>
    </row>
    <row r="10" spans="1:11" x14ac:dyDescent="0.25">
      <c r="A10" s="1" t="s">
        <v>11</v>
      </c>
      <c r="B10" s="39" t="s">
        <v>47</v>
      </c>
      <c r="C10" s="1"/>
      <c r="D10" s="1"/>
      <c r="E10" s="1" t="s">
        <v>12</v>
      </c>
      <c r="F10" s="1"/>
      <c r="G10" s="1"/>
      <c r="H10" s="1"/>
      <c r="I10" s="1" t="s">
        <v>13</v>
      </c>
      <c r="K10" s="19"/>
    </row>
    <row r="11" spans="1:11" x14ac:dyDescent="0.25">
      <c r="A11" s="1" t="s">
        <v>14</v>
      </c>
      <c r="B11" s="39" t="s">
        <v>48</v>
      </c>
      <c r="C11" s="1"/>
      <c r="D11" s="1"/>
      <c r="E11" s="1"/>
      <c r="F11" s="1"/>
      <c r="G11" s="1"/>
      <c r="H11" s="1"/>
      <c r="I11" s="1" t="s">
        <v>15</v>
      </c>
      <c r="K11" s="19"/>
    </row>
    <row r="12" spans="1:11" x14ac:dyDescent="0.25">
      <c r="A12" s="1" t="s">
        <v>16</v>
      </c>
      <c r="B12" s="1" t="s">
        <v>49</v>
      </c>
      <c r="C12" s="1"/>
      <c r="D12" s="1"/>
      <c r="E12" s="1"/>
      <c r="F12" s="1"/>
      <c r="G12" s="1"/>
      <c r="H12" s="1"/>
      <c r="I12" s="1" t="s">
        <v>17</v>
      </c>
    </row>
    <row r="13" spans="1:11" ht="17.25" thickBot="1" x14ac:dyDescent="0.3"/>
    <row r="14" spans="1:11" ht="17.25" thickBot="1" x14ac:dyDescent="0.3">
      <c r="A14" s="7" t="s">
        <v>18</v>
      </c>
      <c r="B14" s="48" t="s">
        <v>19</v>
      </c>
      <c r="C14" s="49"/>
      <c r="D14" s="49"/>
      <c r="E14" s="49"/>
      <c r="F14" s="49"/>
      <c r="G14" s="49"/>
      <c r="H14" s="50"/>
      <c r="I14" s="8" t="s">
        <v>20</v>
      </c>
      <c r="J14" s="8" t="s">
        <v>21</v>
      </c>
      <c r="K14" s="16" t="s">
        <v>22</v>
      </c>
    </row>
    <row r="15" spans="1:11" x14ac:dyDescent="0.25">
      <c r="A15" s="41">
        <v>1</v>
      </c>
      <c r="B15" s="1" t="s">
        <v>51</v>
      </c>
      <c r="C15" s="1"/>
      <c r="H15" s="23"/>
      <c r="I15" s="35">
        <v>3</v>
      </c>
      <c r="J15" s="37">
        <v>7000</v>
      </c>
      <c r="K15" s="37">
        <f>SUM(I15*J15)</f>
        <v>21000</v>
      </c>
    </row>
    <row r="16" spans="1:11" x14ac:dyDescent="0.25">
      <c r="A16" s="41"/>
      <c r="B16" s="44" t="s">
        <v>52</v>
      </c>
      <c r="C16" s="1"/>
      <c r="H16" s="23"/>
      <c r="I16" s="38"/>
      <c r="J16" s="36"/>
      <c r="K16" s="37"/>
    </row>
    <row r="17" spans="1:11" x14ac:dyDescent="0.25">
      <c r="A17" s="41"/>
      <c r="B17" s="44" t="s">
        <v>53</v>
      </c>
      <c r="C17" s="1"/>
      <c r="H17" s="23"/>
      <c r="I17" s="38"/>
      <c r="J17" s="36"/>
      <c r="K17" s="37"/>
    </row>
    <row r="18" spans="1:11" x14ac:dyDescent="0.25">
      <c r="A18" s="41"/>
      <c r="B18" s="44" t="s">
        <v>54</v>
      </c>
      <c r="C18" s="42"/>
      <c r="H18" s="23"/>
      <c r="I18" s="35"/>
      <c r="J18" s="36"/>
      <c r="K18" s="37"/>
    </row>
    <row r="19" spans="1:11" x14ac:dyDescent="0.25">
      <c r="A19" s="41"/>
      <c r="B19" s="1"/>
      <c r="C19" s="42"/>
      <c r="H19" s="23"/>
      <c r="I19" s="35"/>
      <c r="J19" s="36"/>
      <c r="K19" s="37"/>
    </row>
    <row r="20" spans="1:11" x14ac:dyDescent="0.25">
      <c r="A20" s="41">
        <v>2</v>
      </c>
      <c r="B20" s="1" t="s">
        <v>45</v>
      </c>
      <c r="C20" s="1"/>
      <c r="H20" s="23"/>
      <c r="I20" s="35">
        <v>3</v>
      </c>
      <c r="J20" s="36">
        <v>3000</v>
      </c>
      <c r="K20" s="37">
        <f>SUM(I20*J20)</f>
        <v>9000</v>
      </c>
    </row>
    <row r="21" spans="1:11" x14ac:dyDescent="0.25">
      <c r="A21" s="41"/>
      <c r="B21" s="44" t="s">
        <v>52</v>
      </c>
      <c r="C21" s="42"/>
      <c r="H21" s="23"/>
      <c r="I21" s="35"/>
      <c r="J21" s="36"/>
      <c r="K21" s="37"/>
    </row>
    <row r="22" spans="1:11" x14ac:dyDescent="0.25">
      <c r="A22" s="41"/>
      <c r="B22" s="44" t="s">
        <v>53</v>
      </c>
      <c r="C22" s="42"/>
      <c r="H22" s="23"/>
      <c r="I22" s="35"/>
      <c r="J22" s="36"/>
      <c r="K22" s="37"/>
    </row>
    <row r="23" spans="1:11" x14ac:dyDescent="0.25">
      <c r="A23" s="41"/>
      <c r="B23" s="44" t="s">
        <v>54</v>
      </c>
      <c r="C23" s="42"/>
      <c r="H23" s="23"/>
      <c r="I23" s="35"/>
      <c r="J23" s="36"/>
      <c r="K23" s="37"/>
    </row>
    <row r="24" spans="1:11" x14ac:dyDescent="0.25">
      <c r="A24" s="41"/>
      <c r="B24" s="44"/>
      <c r="C24" s="42"/>
      <c r="H24" s="23"/>
      <c r="I24" s="35"/>
      <c r="J24" s="36"/>
      <c r="K24" s="37"/>
    </row>
    <row r="25" spans="1:11" x14ac:dyDescent="0.25">
      <c r="A25" s="41">
        <v>3</v>
      </c>
      <c r="B25" s="1" t="s">
        <v>55</v>
      </c>
      <c r="C25" s="42"/>
      <c r="H25" s="23"/>
      <c r="I25" s="35">
        <v>1</v>
      </c>
      <c r="J25" s="36">
        <v>12000</v>
      </c>
      <c r="K25" s="37">
        <f>SUM(I25*J25)</f>
        <v>12000</v>
      </c>
    </row>
    <row r="26" spans="1:11" x14ac:dyDescent="0.25">
      <c r="A26" s="41"/>
      <c r="B26" s="44" t="s">
        <v>56</v>
      </c>
      <c r="C26" s="1"/>
      <c r="H26" s="23"/>
      <c r="I26" s="35"/>
      <c r="J26" s="36"/>
      <c r="K26" s="37"/>
    </row>
    <row r="27" spans="1:11" x14ac:dyDescent="0.25">
      <c r="A27" s="41"/>
      <c r="B27" s="1"/>
      <c r="C27" s="1"/>
      <c r="H27" s="23"/>
      <c r="I27" s="35"/>
      <c r="J27" s="36"/>
      <c r="K27" s="40" t="s">
        <v>23</v>
      </c>
    </row>
    <row r="28" spans="1:11" x14ac:dyDescent="0.25">
      <c r="A28" s="41"/>
      <c r="B28" s="1"/>
      <c r="C28" s="1"/>
      <c r="H28" s="23"/>
      <c r="I28" s="35"/>
      <c r="J28" s="36"/>
      <c r="K28" s="37"/>
    </row>
    <row r="29" spans="1:11" x14ac:dyDescent="0.25">
      <c r="A29" s="41"/>
      <c r="B29" s="1"/>
      <c r="C29" s="42"/>
      <c r="H29" s="23"/>
      <c r="I29" s="35"/>
      <c r="J29" s="36"/>
      <c r="K29" s="37"/>
    </row>
    <row r="30" spans="1:11" x14ac:dyDescent="0.25">
      <c r="A30" s="41"/>
      <c r="B30" s="1"/>
      <c r="C30" s="42"/>
      <c r="H30" s="23"/>
      <c r="I30" s="35"/>
      <c r="J30" s="36"/>
      <c r="K30" s="37"/>
    </row>
    <row r="31" spans="1:11" x14ac:dyDescent="0.25">
      <c r="A31" s="41"/>
      <c r="B31" s="1"/>
      <c r="C31" s="42"/>
      <c r="H31" s="23"/>
      <c r="I31" s="35"/>
      <c r="J31" s="36"/>
      <c r="K31" s="37"/>
    </row>
    <row r="32" spans="1:11" x14ac:dyDescent="0.25">
      <c r="A32" s="41"/>
      <c r="B32" s="1"/>
      <c r="C32" s="42"/>
      <c r="H32" s="23"/>
      <c r="I32" s="35"/>
      <c r="J32" s="36"/>
      <c r="K32" s="37"/>
    </row>
    <row r="33" spans="1:11" x14ac:dyDescent="0.25">
      <c r="A33" s="41"/>
      <c r="B33" s="1"/>
      <c r="C33" s="42"/>
      <c r="H33" s="23"/>
      <c r="I33" s="35"/>
      <c r="J33" s="36"/>
      <c r="K33" s="37"/>
    </row>
    <row r="34" spans="1:11" x14ac:dyDescent="0.25">
      <c r="A34" s="41"/>
      <c r="B34" s="1"/>
      <c r="C34" s="42"/>
      <c r="H34" s="23"/>
      <c r="I34" s="35"/>
      <c r="J34" s="36"/>
      <c r="K34" s="37"/>
    </row>
    <row r="35" spans="1:11" x14ac:dyDescent="0.25">
      <c r="A35" s="41"/>
      <c r="B35" s="1"/>
      <c r="C35" s="42"/>
      <c r="H35" s="23"/>
      <c r="I35" s="35"/>
      <c r="J35" s="36"/>
      <c r="K35" s="37"/>
    </row>
    <row r="36" spans="1:11" ht="17.25" thickBot="1" x14ac:dyDescent="0.3">
      <c r="A36" s="41"/>
      <c r="B36" s="43"/>
      <c r="C36" s="42"/>
      <c r="H36" s="23"/>
      <c r="I36" s="35"/>
      <c r="J36" s="36"/>
      <c r="K36" s="37"/>
    </row>
    <row r="37" spans="1:11" ht="17.25" thickBot="1" x14ac:dyDescent="0.3">
      <c r="A37" s="45" t="s">
        <v>24</v>
      </c>
      <c r="B37" s="46"/>
      <c r="C37" s="46"/>
      <c r="D37" s="46"/>
      <c r="E37" s="46"/>
      <c r="F37" s="46"/>
      <c r="G37" s="46"/>
      <c r="H37" s="46"/>
      <c r="I37" s="46"/>
      <c r="J37" s="46"/>
      <c r="K37" s="47"/>
    </row>
    <row r="38" spans="1:11" ht="17.25" customHeight="1" x14ac:dyDescent="0.25">
      <c r="A38" s="26"/>
      <c r="B38" s="30"/>
      <c r="H38" s="23"/>
      <c r="I38" s="24"/>
      <c r="J38" s="24"/>
      <c r="K38" s="25"/>
    </row>
    <row r="39" spans="1:11" ht="17.25" customHeight="1" x14ac:dyDescent="0.25">
      <c r="A39" s="26"/>
      <c r="B39" s="30"/>
      <c r="H39" s="23"/>
      <c r="I39" s="24"/>
      <c r="J39" s="24"/>
      <c r="K39" s="25"/>
    </row>
    <row r="40" spans="1:11" ht="17.25" customHeight="1" x14ac:dyDescent="0.25">
      <c r="A40" s="26"/>
      <c r="B40" s="30"/>
      <c r="H40" s="23"/>
      <c r="I40" s="24"/>
      <c r="J40" s="24"/>
      <c r="K40" s="25"/>
    </row>
    <row r="41" spans="1:11" ht="17.25" customHeight="1" x14ac:dyDescent="0.25">
      <c r="A41" s="26"/>
      <c r="B41" s="30"/>
      <c r="H41" s="23"/>
      <c r="I41" s="24"/>
      <c r="J41" s="24"/>
      <c r="K41" s="25"/>
    </row>
    <row r="42" spans="1:11" ht="17.25" customHeight="1" x14ac:dyDescent="0.25">
      <c r="A42" s="26"/>
      <c r="B42" s="30"/>
      <c r="H42" s="23"/>
      <c r="I42" s="24"/>
      <c r="J42" s="24"/>
      <c r="K42" s="25"/>
    </row>
    <row r="43" spans="1:11" ht="17.25" thickBot="1" x14ac:dyDescent="0.3">
      <c r="A43" s="27"/>
      <c r="B43" s="31"/>
      <c r="C43" s="20"/>
      <c r="D43" s="20"/>
      <c r="E43" s="20"/>
      <c r="F43" s="20"/>
      <c r="G43" s="20"/>
      <c r="H43" s="32"/>
      <c r="I43" s="28"/>
      <c r="J43" s="28"/>
      <c r="K43" s="29"/>
    </row>
    <row r="44" spans="1:11" ht="16.5" customHeight="1" x14ac:dyDescent="0.25">
      <c r="A44" s="70" t="s">
        <v>40</v>
      </c>
      <c r="B44" s="55" t="s">
        <v>39</v>
      </c>
      <c r="C44" s="55"/>
      <c r="D44" s="55"/>
      <c r="E44" s="55"/>
      <c r="F44" s="55"/>
      <c r="G44" s="55"/>
      <c r="H44" s="56"/>
      <c r="I44" s="17" t="s">
        <v>25</v>
      </c>
      <c r="J44" s="61">
        <f>SUM(K15:K36)</f>
        <v>42000</v>
      </c>
      <c r="K44" s="62"/>
    </row>
    <row r="45" spans="1:11" ht="16.5" customHeight="1" x14ac:dyDescent="0.25">
      <c r="A45" s="71"/>
      <c r="B45" s="57"/>
      <c r="C45" s="57"/>
      <c r="D45" s="57"/>
      <c r="E45" s="57"/>
      <c r="F45" s="57"/>
      <c r="G45" s="57"/>
      <c r="H45" s="58"/>
      <c r="I45" s="21" t="s">
        <v>26</v>
      </c>
      <c r="J45" s="67"/>
      <c r="K45" s="68"/>
    </row>
    <row r="46" spans="1:11" x14ac:dyDescent="0.25">
      <c r="A46" s="71"/>
      <c r="B46" s="57"/>
      <c r="C46" s="57"/>
      <c r="D46" s="57"/>
      <c r="E46" s="57"/>
      <c r="F46" s="57"/>
      <c r="G46" s="57"/>
      <c r="H46" s="58"/>
      <c r="I46" s="12" t="s">
        <v>27</v>
      </c>
      <c r="J46" s="63">
        <f>J44+J45</f>
        <v>42000</v>
      </c>
      <c r="K46" s="64"/>
    </row>
    <row r="47" spans="1:11" x14ac:dyDescent="0.25">
      <c r="A47" s="71"/>
      <c r="B47" s="57"/>
      <c r="C47" s="57"/>
      <c r="D47" s="57"/>
      <c r="E47" s="57"/>
      <c r="F47" s="57"/>
      <c r="G47" s="57"/>
      <c r="H47" s="58"/>
      <c r="I47" s="12" t="s">
        <v>28</v>
      </c>
      <c r="J47" s="63">
        <f>J46*0.05</f>
        <v>2100</v>
      </c>
      <c r="K47" s="64"/>
    </row>
    <row r="48" spans="1:11" ht="18" customHeight="1" thickBot="1" x14ac:dyDescent="0.3">
      <c r="A48" s="72"/>
      <c r="B48" s="59"/>
      <c r="C48" s="59"/>
      <c r="D48" s="59"/>
      <c r="E48" s="59"/>
      <c r="F48" s="59"/>
      <c r="G48" s="59"/>
      <c r="H48" s="60"/>
      <c r="I48" s="14" t="s">
        <v>29</v>
      </c>
      <c r="J48" s="65">
        <f>SUM(J46:K47)</f>
        <v>44100</v>
      </c>
      <c r="K48" s="66"/>
    </row>
    <row r="49" spans="1:11" ht="16.5" customHeight="1" x14ac:dyDescent="0.25">
      <c r="A49" s="15" t="s">
        <v>42</v>
      </c>
      <c r="B49" s="55" t="s">
        <v>41</v>
      </c>
      <c r="C49" s="55"/>
      <c r="D49" s="55"/>
      <c r="E49" s="55"/>
      <c r="F49" s="55"/>
      <c r="G49" s="55"/>
      <c r="H49" s="56"/>
      <c r="I49" s="52" t="s">
        <v>30</v>
      </c>
      <c r="J49" s="53"/>
      <c r="K49" s="54"/>
    </row>
    <row r="50" spans="1:11" ht="16.5" customHeight="1" x14ac:dyDescent="0.25">
      <c r="A50" s="11"/>
      <c r="B50" s="57"/>
      <c r="C50" s="57"/>
      <c r="D50" s="57"/>
      <c r="E50" s="57"/>
      <c r="F50" s="57"/>
      <c r="G50" s="57"/>
      <c r="H50" s="58"/>
      <c r="I50" s="11"/>
      <c r="J50" s="5"/>
      <c r="K50" s="6"/>
    </row>
    <row r="51" spans="1:11" ht="16.5" customHeight="1" x14ac:dyDescent="0.25">
      <c r="A51" s="11"/>
      <c r="B51" s="57"/>
      <c r="C51" s="57"/>
      <c r="D51" s="57"/>
      <c r="E51" s="57"/>
      <c r="F51" s="57"/>
      <c r="G51" s="57"/>
      <c r="H51" s="58"/>
      <c r="I51" s="11"/>
      <c r="J51" s="5"/>
      <c r="K51" s="6"/>
    </row>
    <row r="52" spans="1:11" ht="16.5" customHeight="1" x14ac:dyDescent="0.25">
      <c r="A52" s="11"/>
      <c r="B52" s="57"/>
      <c r="C52" s="57"/>
      <c r="D52" s="57"/>
      <c r="E52" s="57"/>
      <c r="F52" s="57"/>
      <c r="G52" s="57"/>
      <c r="H52" s="58"/>
      <c r="I52" s="11"/>
      <c r="J52" s="5"/>
      <c r="K52" s="6"/>
    </row>
    <row r="53" spans="1:11" ht="16.5" customHeight="1" x14ac:dyDescent="0.25">
      <c r="A53" s="11"/>
      <c r="B53" s="57"/>
      <c r="C53" s="57"/>
      <c r="D53" s="57"/>
      <c r="E53" s="57"/>
      <c r="F53" s="57"/>
      <c r="G53" s="57"/>
      <c r="H53" s="58"/>
      <c r="I53" s="11"/>
      <c r="J53" s="5"/>
      <c r="K53" s="6"/>
    </row>
    <row r="54" spans="1:11" ht="16.5" customHeight="1" x14ac:dyDescent="0.25">
      <c r="A54" s="11"/>
      <c r="B54" s="57"/>
      <c r="C54" s="57"/>
      <c r="D54" s="57"/>
      <c r="E54" s="57"/>
      <c r="F54" s="57"/>
      <c r="G54" s="57"/>
      <c r="H54" s="58"/>
      <c r="I54" s="11"/>
      <c r="J54" s="5"/>
      <c r="K54" s="6"/>
    </row>
    <row r="55" spans="1:11" ht="16.5" customHeight="1" x14ac:dyDescent="0.25">
      <c r="A55" s="11"/>
      <c r="B55" s="57"/>
      <c r="C55" s="57"/>
      <c r="D55" s="57"/>
      <c r="E55" s="57"/>
      <c r="F55" s="57"/>
      <c r="G55" s="57"/>
      <c r="H55" s="58"/>
      <c r="I55" s="11"/>
      <c r="J55" s="5"/>
      <c r="K55" s="6"/>
    </row>
    <row r="56" spans="1:11" ht="19.5" customHeight="1" thickBot="1" x14ac:dyDescent="0.3">
      <c r="A56" s="13"/>
      <c r="B56" s="59"/>
      <c r="C56" s="59"/>
      <c r="D56" s="59"/>
      <c r="E56" s="59"/>
      <c r="F56" s="59"/>
      <c r="G56" s="59"/>
      <c r="H56" s="60"/>
      <c r="I56" s="13"/>
      <c r="J56" s="9"/>
      <c r="K56" s="10"/>
    </row>
    <row r="57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 t="s">
        <v>31</v>
      </c>
      <c r="K57" s="5"/>
    </row>
    <row r="58" spans="1:11" x14ac:dyDescent="0.25">
      <c r="A58" s="5" t="s">
        <v>32</v>
      </c>
      <c r="B58" s="5"/>
      <c r="C58" s="5"/>
      <c r="D58" s="5" t="s">
        <v>33</v>
      </c>
      <c r="E58" s="5"/>
      <c r="F58" s="5"/>
      <c r="G58" s="5"/>
      <c r="H58" s="5" t="s">
        <v>34</v>
      </c>
      <c r="I58" s="5"/>
      <c r="K58" s="5"/>
    </row>
    <row r="59" spans="1:11" x14ac:dyDescent="0.25">
      <c r="A59" s="5" t="s">
        <v>35</v>
      </c>
      <c r="B59" s="5" t="s">
        <v>36</v>
      </c>
      <c r="C59" s="5"/>
      <c r="D59" s="5" t="s">
        <v>37</v>
      </c>
      <c r="E59" s="33"/>
      <c r="F59" s="5"/>
      <c r="H59" s="5" t="s">
        <v>38</v>
      </c>
      <c r="I59" s="5"/>
      <c r="J59" s="5"/>
      <c r="K59" s="5"/>
    </row>
    <row r="60" spans="1:11" x14ac:dyDescent="0.25">
      <c r="E60" s="5"/>
      <c r="F60" s="5"/>
      <c r="G60" s="5"/>
      <c r="H60" s="5"/>
      <c r="I60" s="5"/>
      <c r="J60" s="5"/>
      <c r="K60" s="5"/>
    </row>
  </sheetData>
  <mergeCells count="14">
    <mergeCell ref="A37:K37"/>
    <mergeCell ref="B14:H14"/>
    <mergeCell ref="A6:K6"/>
    <mergeCell ref="I49:K49"/>
    <mergeCell ref="B49:H56"/>
    <mergeCell ref="B44:H48"/>
    <mergeCell ref="J44:K44"/>
    <mergeCell ref="J46:K46"/>
    <mergeCell ref="J47:K47"/>
    <mergeCell ref="J48:K48"/>
    <mergeCell ref="J45:K45"/>
    <mergeCell ref="B9:C9"/>
    <mergeCell ref="B8:D8"/>
    <mergeCell ref="A44:A48"/>
  </mergeCells>
  <phoneticPr fontId="2" type="noConversion"/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Manager/>
  <Company>摯陞數位科技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陳聖文</dc:creator>
  <cp:keywords/>
  <dc:description/>
  <cp:lastModifiedBy>Daffy Chou</cp:lastModifiedBy>
  <cp:revision/>
  <cp:lastPrinted>2025-10-08T01:28:04Z</cp:lastPrinted>
  <dcterms:created xsi:type="dcterms:W3CDTF">2005-10-21T05:32:19Z</dcterms:created>
  <dcterms:modified xsi:type="dcterms:W3CDTF">2025-11-25T11:07:54Z</dcterms:modified>
  <cp:category/>
  <cp:contentStatus/>
</cp:coreProperties>
</file>