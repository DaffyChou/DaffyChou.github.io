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國產-2023更新\庶務工作\智慧船舶管理系統計畫案-公司\第三期架構(含加裝CCTV)\第二期 plus 午報整合功能與介面規劃\"/>
    </mc:Choice>
  </mc:AlternateContent>
  <bookViews>
    <workbookView xWindow="0" yWindow="0" windowWidth="2150" windowHeight="0" tabRatio="821" activeTab="3"/>
  </bookViews>
  <sheets>
    <sheet name="格式1-船位報-" sheetId="5" r:id="rId1"/>
    <sheet name="格式2-抵港報" sheetId="2" r:id="rId2"/>
    <sheet name="改式3-日電報(裝卸及等泊報及等作業報)" sheetId="6" r:id="rId3"/>
    <sheet name="改新增-格式4-完工報或及離港報" sheetId="4" r:id="rId4"/>
    <sheet name="格式5 -移泊報" sheetId="7" r:id="rId5"/>
    <sheet name="格式6-改-特殊情況報" sheetId="9" r:id="rId6"/>
    <sheet name="工作表3" sheetId="3" r:id="rId7"/>
    <sheet name="工作表1" sheetId="8" r:id="rId8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7" l="1"/>
  <c r="B38" i="7"/>
  <c r="B33" i="7"/>
  <c r="B32" i="7"/>
  <c r="B35" i="7"/>
  <c r="B31" i="9" l="1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29" i="9" l="1"/>
  <c r="B17" i="9"/>
  <c r="B25" i="7"/>
  <c r="B19" i="7"/>
  <c r="B17" i="7"/>
  <c r="B26" i="4"/>
  <c r="B22" i="4"/>
  <c r="B27" i="4"/>
  <c r="B18" i="9"/>
  <c r="B21" i="9"/>
  <c r="B22" i="9"/>
  <c r="B11" i="9"/>
  <c r="B12" i="9"/>
  <c r="B13" i="9"/>
  <c r="B14" i="9"/>
  <c r="B15" i="9"/>
  <c r="B16" i="9"/>
  <c r="B6" i="9"/>
  <c r="B7" i="9"/>
  <c r="B8" i="9"/>
  <c r="B9" i="9"/>
  <c r="B10" i="9"/>
  <c r="B26" i="7"/>
  <c r="B27" i="7"/>
  <c r="B15" i="7"/>
  <c r="B14" i="7"/>
  <c r="B13" i="7"/>
  <c r="B11" i="7"/>
  <c r="B62" i="4"/>
  <c r="B63" i="4"/>
  <c r="B64" i="4"/>
  <c r="B65" i="4"/>
  <c r="B66" i="4"/>
  <c r="B67" i="4"/>
  <c r="B29" i="4"/>
  <c r="B30" i="4"/>
  <c r="B31" i="4"/>
  <c r="B32" i="4"/>
  <c r="B33" i="4"/>
  <c r="B34" i="4"/>
  <c r="B35" i="4"/>
  <c r="B36" i="4"/>
  <c r="B15" i="4"/>
  <c r="B16" i="4"/>
  <c r="B17" i="4"/>
  <c r="B18" i="4"/>
  <c r="B19" i="4"/>
  <c r="B20" i="4"/>
  <c r="B21" i="4"/>
  <c r="B23" i="4"/>
  <c r="B24" i="4"/>
  <c r="B25" i="4"/>
  <c r="B28" i="4"/>
  <c r="B55" i="4"/>
  <c r="B56" i="4"/>
  <c r="B57" i="4"/>
  <c r="B58" i="4"/>
  <c r="B59" i="4"/>
  <c r="B60" i="4"/>
  <c r="B61" i="4"/>
  <c r="B37" i="4"/>
  <c r="B38" i="4"/>
  <c r="B39" i="4"/>
  <c r="B54" i="4"/>
  <c r="B8" i="6" l="1"/>
  <c r="B20" i="6"/>
  <c r="B21" i="6"/>
  <c r="B74" i="2"/>
  <c r="B73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29" i="2"/>
  <c r="B30" i="2"/>
  <c r="B28" i="2"/>
  <c r="B15" i="2"/>
  <c r="B16" i="2"/>
  <c r="B10" i="2" l="1"/>
  <c r="B8" i="2"/>
  <c r="B7" i="2"/>
  <c r="B6" i="2"/>
  <c r="B75" i="2"/>
  <c r="B9" i="2"/>
  <c r="B36" i="5" l="1"/>
  <c r="B34" i="5"/>
  <c r="B35" i="5"/>
  <c r="B33" i="5"/>
  <c r="B19" i="5"/>
  <c r="B8" i="5"/>
  <c r="B6" i="5"/>
  <c r="B4" i="5"/>
  <c r="B6" i="7" l="1"/>
  <c r="B4" i="4" l="1"/>
  <c r="B43" i="5" l="1"/>
  <c r="B44" i="5"/>
  <c r="B17" i="5"/>
  <c r="B7" i="5"/>
  <c r="B10" i="5"/>
  <c r="B38" i="5"/>
  <c r="B40" i="5"/>
  <c r="B41" i="5"/>
  <c r="B65" i="2" l="1"/>
  <c r="B92" i="2"/>
  <c r="B93" i="2"/>
  <c r="B94" i="2"/>
  <c r="B14" i="2"/>
  <c r="B66" i="2"/>
  <c r="B67" i="2"/>
  <c r="B4" i="9" l="1"/>
  <c r="B107" i="4" l="1"/>
  <c r="B51" i="4"/>
  <c r="B45" i="4"/>
  <c r="B32" i="5"/>
  <c r="B26" i="5"/>
  <c r="B40" i="6"/>
  <c r="B34" i="6"/>
  <c r="B26" i="9"/>
  <c r="B25" i="9"/>
  <c r="B24" i="9"/>
  <c r="B108" i="4"/>
  <c r="B20" i="9"/>
  <c r="B19" i="9"/>
  <c r="B30" i="9"/>
  <c r="B28" i="9"/>
  <c r="B27" i="9"/>
  <c r="B23" i="9"/>
  <c r="B5" i="9"/>
  <c r="B4" i="2" l="1"/>
  <c r="B11" i="2"/>
  <c r="B5" i="2"/>
  <c r="B20" i="2"/>
  <c r="B33" i="2" l="1"/>
  <c r="B64" i="2"/>
  <c r="B63" i="2"/>
  <c r="B19" i="6"/>
  <c r="B22" i="6"/>
  <c r="B23" i="6"/>
  <c r="B24" i="6"/>
  <c r="B25" i="6"/>
  <c r="B18" i="6"/>
  <c r="B27" i="6"/>
  <c r="B28" i="6"/>
  <c r="B29" i="6"/>
  <c r="B30" i="6"/>
  <c r="B31" i="6"/>
  <c r="B32" i="6"/>
  <c r="B33" i="6"/>
  <c r="B35" i="6"/>
  <c r="B36" i="6"/>
  <c r="B37" i="6"/>
  <c r="B38" i="6"/>
  <c r="B39" i="6"/>
  <c r="B10" i="6"/>
  <c r="B12" i="6"/>
  <c r="B17" i="6"/>
  <c r="B19" i="2"/>
  <c r="B6" i="4" l="1"/>
  <c r="B6" i="6"/>
  <c r="B18" i="7" l="1"/>
  <c r="B20" i="7"/>
  <c r="B21" i="7"/>
  <c r="B22" i="7"/>
  <c r="B23" i="7"/>
  <c r="B24" i="7"/>
  <c r="B28" i="7"/>
  <c r="B29" i="7"/>
  <c r="B30" i="7"/>
  <c r="B31" i="7"/>
  <c r="B34" i="7"/>
  <c r="B36" i="7"/>
  <c r="B37" i="7"/>
  <c r="B39" i="7"/>
  <c r="B40" i="7"/>
  <c r="B7" i="7"/>
  <c r="B8" i="7"/>
  <c r="B10" i="7"/>
  <c r="B16" i="7"/>
  <c r="B9" i="7"/>
  <c r="B5" i="7"/>
  <c r="B12" i="7"/>
  <c r="B4" i="7"/>
  <c r="B53" i="4"/>
  <c r="B52" i="4"/>
  <c r="B102" i="4"/>
  <c r="B103" i="4"/>
  <c r="B104" i="4"/>
  <c r="B105" i="4"/>
  <c r="B106" i="4"/>
  <c r="B8" i="4"/>
  <c r="B10" i="4"/>
  <c r="B46" i="4"/>
  <c r="B47" i="4"/>
  <c r="B48" i="4"/>
  <c r="B49" i="4"/>
  <c r="B50" i="4"/>
  <c r="B9" i="4"/>
  <c r="B5" i="4"/>
  <c r="B11" i="4"/>
  <c r="B12" i="4"/>
  <c r="B13" i="4"/>
  <c r="B14" i="4"/>
  <c r="B40" i="4"/>
  <c r="B41" i="4"/>
  <c r="B42" i="4"/>
  <c r="B43" i="4"/>
  <c r="B44" i="4"/>
  <c r="B4" i="6"/>
  <c r="B26" i="2"/>
  <c r="B11" i="6"/>
  <c r="B5" i="6"/>
  <c r="B13" i="6"/>
  <c r="B14" i="6"/>
  <c r="B16" i="6"/>
  <c r="B35" i="2"/>
  <c r="B17" i="2"/>
  <c r="B18" i="2"/>
  <c r="B21" i="2"/>
  <c r="B34" i="2"/>
  <c r="B22" i="2"/>
  <c r="B23" i="2"/>
  <c r="B24" i="2"/>
  <c r="B27" i="2"/>
  <c r="B31" i="2"/>
  <c r="B36" i="2"/>
  <c r="B37" i="2"/>
  <c r="B38" i="2"/>
  <c r="B12" i="2"/>
  <c r="B13" i="2"/>
  <c r="B45" i="2"/>
  <c r="B46" i="2"/>
  <c r="B47" i="2"/>
  <c r="B48" i="2"/>
  <c r="B49" i="2"/>
  <c r="B39" i="2"/>
  <c r="B40" i="2"/>
  <c r="B41" i="2"/>
  <c r="B42" i="2"/>
  <c r="B43" i="2"/>
  <c r="B68" i="2"/>
  <c r="B71" i="2"/>
  <c r="B72" i="2"/>
  <c r="B69" i="2"/>
  <c r="B70" i="2"/>
  <c r="B39" i="5" l="1"/>
  <c r="B11" i="5"/>
  <c r="B5" i="5"/>
  <c r="B9" i="5"/>
  <c r="B18" i="5"/>
  <c r="B20" i="5"/>
  <c r="B12" i="5"/>
  <c r="B13" i="5"/>
  <c r="B14" i="5"/>
  <c r="B15" i="5"/>
  <c r="B16" i="5"/>
  <c r="B21" i="5"/>
  <c r="B22" i="5"/>
  <c r="B23" i="5"/>
  <c r="B24" i="5"/>
  <c r="B25" i="5"/>
  <c r="B27" i="5"/>
  <c r="B28" i="5"/>
  <c r="B29" i="5"/>
  <c r="B30" i="5"/>
  <c r="B31" i="5"/>
  <c r="B37" i="5"/>
  <c r="L10" i="3" l="1"/>
</calcChain>
</file>

<file path=xl/comments1.xml><?xml version="1.0" encoding="utf-8"?>
<comments xmlns="http://schemas.openxmlformats.org/spreadsheetml/2006/main">
  <authors>
    <author>方宭蓶</author>
  </authors>
  <commentList>
    <comment ref="F15" authorId="0" shapeId="0">
      <text>
        <r>
          <rPr>
            <b/>
            <sz val="9"/>
            <color indexed="81"/>
            <rFont val="細明體"/>
            <family val="3"/>
            <charset val="136"/>
          </rPr>
          <t>方宭蓶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0/Calm(glassy), </t>
        </r>
      </text>
    </comment>
    <comment ref="F16" authorId="0" shapeId="0">
      <text>
        <r>
          <rPr>
            <b/>
            <sz val="9"/>
            <color indexed="81"/>
            <rFont val="細明體"/>
            <family val="3"/>
            <charset val="136"/>
          </rPr>
          <t>方宭蓶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0/Calm(glassy), </t>
        </r>
      </text>
    </comment>
  </commentList>
</comments>
</file>

<file path=xl/sharedStrings.xml><?xml version="1.0" encoding="utf-8"?>
<sst xmlns="http://schemas.openxmlformats.org/spreadsheetml/2006/main" count="1308" uniqueCount="817">
  <si>
    <t>其他說明（如有）</t>
  </si>
  <si>
    <t>操作方式</t>
    <phoneticPr fontId="1" type="noConversion"/>
  </si>
  <si>
    <t>中文翻譯</t>
    <phoneticPr fontId="1" type="noConversion"/>
  </si>
  <si>
    <t>日報原文</t>
    <phoneticPr fontId="1" type="noConversion"/>
  </si>
  <si>
    <t>手動</t>
    <phoneticPr fontId="1" type="noConversion"/>
  </si>
  <si>
    <t>船名</t>
    <phoneticPr fontId="1" type="noConversion"/>
  </si>
  <si>
    <t>航次號</t>
    <phoneticPr fontId="1" type="noConversion"/>
  </si>
  <si>
    <t>港口名稱</t>
    <phoneticPr fontId="1" type="noConversion"/>
  </si>
  <si>
    <t>自動</t>
    <phoneticPr fontId="1" type="noConversion"/>
  </si>
  <si>
    <t>自動</t>
    <phoneticPr fontId="1" type="noConversion"/>
  </si>
  <si>
    <t xml:space="preserve">GMT </t>
    <phoneticPr fontId="1" type="noConversion"/>
  </si>
  <si>
    <t>標準時間（Ex. +8）</t>
    <phoneticPr fontId="1" type="noConversion"/>
  </si>
  <si>
    <t>下錨時間 (EX. LT )</t>
    <phoneticPr fontId="1" type="noConversion"/>
  </si>
  <si>
    <t>Time of EOSP</t>
    <phoneticPr fontId="1" type="noConversion"/>
  </si>
  <si>
    <t>結束海上定速航行時間</t>
    <phoneticPr fontId="1" type="noConversion"/>
  </si>
  <si>
    <t>自動</t>
    <phoneticPr fontId="1" type="noConversion"/>
  </si>
  <si>
    <t>ROB FO of EOSP</t>
    <phoneticPr fontId="1" type="noConversion"/>
  </si>
  <si>
    <t>ROB DO of EOSP</t>
    <phoneticPr fontId="1" type="noConversion"/>
  </si>
  <si>
    <t>定義</t>
    <phoneticPr fontId="1" type="noConversion"/>
  </si>
  <si>
    <t>定速航行總海浬數</t>
    <phoneticPr fontId="1" type="noConversion"/>
  </si>
  <si>
    <t>Total Distance of Sea Passage</t>
    <phoneticPr fontId="1" type="noConversion"/>
  </si>
  <si>
    <t>Total Average Speed</t>
    <phoneticPr fontId="1" type="noConversion"/>
  </si>
  <si>
    <t>航程平均航速</t>
    <phoneticPr fontId="1" type="noConversion"/>
  </si>
  <si>
    <t>抵達港區範圍/報到線/錨地，上引水、進港前的等待</t>
    <phoneticPr fontId="1" type="noConversion"/>
  </si>
  <si>
    <t>預計靠泊時間（如有）</t>
    <phoneticPr fontId="1" type="noConversion"/>
  </si>
  <si>
    <t>NOR 遞交（如有）</t>
    <phoneticPr fontId="1" type="noConversion"/>
  </si>
  <si>
    <t>ETB (if any)</t>
    <phoneticPr fontId="1" type="noConversion"/>
  </si>
  <si>
    <t>自動+手動</t>
    <phoneticPr fontId="1" type="noConversion"/>
  </si>
  <si>
    <t>浪向</t>
    <phoneticPr fontId="1" type="noConversion"/>
  </si>
  <si>
    <t>浪級</t>
    <phoneticPr fontId="1" type="noConversion"/>
  </si>
  <si>
    <t>手動</t>
    <phoneticPr fontId="1" type="noConversion"/>
  </si>
  <si>
    <t>手動或自動</t>
    <phoneticPr fontId="1" type="noConversion"/>
  </si>
  <si>
    <t>導入風速儀，數據必須顯示。</t>
    <phoneticPr fontId="1" type="noConversion"/>
  </si>
  <si>
    <r>
      <t>提起風速儀的原始數據並另外計算出絕對風速。是一个Wind Calculator 手机App软件，在上面可以输入「现在的船速和船首向，风速仪上的最大最小风速及风速角」，然后显示算出来的。或是直接參考氣象平台資訊。</t>
    </r>
    <r>
      <rPr>
        <sz val="12"/>
        <color rgb="FFFF0000"/>
        <rFont val="新細明體"/>
        <family val="1"/>
        <charset val="136"/>
        <scheme val="minor"/>
      </rPr>
      <t>與租約有關，數據必須顯示。</t>
    </r>
    <phoneticPr fontId="1" type="noConversion"/>
  </si>
  <si>
    <r>
      <t>套用風速儀數據。</t>
    </r>
    <r>
      <rPr>
        <sz val="12"/>
        <color rgb="FFFF0000"/>
        <rFont val="新細明體"/>
        <family val="1"/>
        <charset val="136"/>
        <scheme val="minor"/>
      </rPr>
      <t>與租約有關，數據必須顯示。</t>
    </r>
    <phoneticPr fontId="1" type="noConversion"/>
  </si>
  <si>
    <r>
      <t>只能人工判斷或是導入氣象平台資訊，</t>
    </r>
    <r>
      <rPr>
        <sz val="12"/>
        <color rgb="FFFF0000"/>
        <rFont val="新細明體"/>
        <family val="1"/>
        <charset val="136"/>
        <scheme val="minor"/>
      </rPr>
      <t>與租約有關，數據必須顯示。</t>
    </r>
    <phoneticPr fontId="1" type="noConversion"/>
  </si>
  <si>
    <t>不見得需要顯示，但仍建議導入氣象平台資訊。</t>
    <phoneticPr fontId="1" type="noConversion"/>
  </si>
  <si>
    <t>Average Wind direction</t>
    <phoneticPr fontId="1" type="noConversion"/>
  </si>
  <si>
    <t>Average Wind Speed</t>
    <phoneticPr fontId="1" type="noConversion"/>
  </si>
  <si>
    <t>Average Beaufort wind scale</t>
    <phoneticPr fontId="1" type="noConversion"/>
  </si>
  <si>
    <t>Average state of sea</t>
    <phoneticPr fontId="1" type="noConversion"/>
  </si>
  <si>
    <t>Average douglas swell scale</t>
    <phoneticPr fontId="1" type="noConversion"/>
  </si>
  <si>
    <t>平均風向</t>
    <phoneticPr fontId="1" type="noConversion"/>
  </si>
  <si>
    <t>平均風速（kn）</t>
    <phoneticPr fontId="1" type="noConversion"/>
  </si>
  <si>
    <t>平均風級</t>
    <phoneticPr fontId="1" type="noConversion"/>
  </si>
  <si>
    <t>若是「船舶抵達港區範圍後無法在四小時內上引水」，需填入的預計靠泊計時間</t>
    <phoneticPr fontId="1" type="noConversion"/>
  </si>
  <si>
    <t>ETCD</t>
    <phoneticPr fontId="1" type="noConversion"/>
  </si>
  <si>
    <t>預計完工及離開的時間</t>
    <phoneticPr fontId="1" type="noConversion"/>
  </si>
  <si>
    <t>ROB DO of F.W.E</t>
    <phoneticPr fontId="1" type="noConversion"/>
  </si>
  <si>
    <t>項次</t>
    <phoneticPr fontId="1" type="noConversion"/>
  </si>
  <si>
    <t>ROB FO of Commenced Working</t>
    <phoneticPr fontId="1" type="noConversion"/>
  </si>
  <si>
    <t>ROB DO of Commenced Working</t>
    <phoneticPr fontId="1" type="noConversion"/>
  </si>
  <si>
    <t>ROB FW of Commenced Working</t>
    <phoneticPr fontId="1" type="noConversion"/>
  </si>
  <si>
    <t>開工時的重油存量</t>
    <phoneticPr fontId="1" type="noConversion"/>
  </si>
  <si>
    <t>開工時的輕油存量</t>
    <phoneticPr fontId="1" type="noConversion"/>
  </si>
  <si>
    <t>開工時的淡水存量</t>
    <phoneticPr fontId="1" type="noConversion"/>
  </si>
  <si>
    <t>開工時的主機汽缸油存量</t>
    <phoneticPr fontId="1" type="noConversion"/>
  </si>
  <si>
    <t>開工時的主機系統油存量</t>
    <phoneticPr fontId="1" type="noConversion"/>
  </si>
  <si>
    <t>開工時的輔機系統油存量</t>
    <phoneticPr fontId="1" type="noConversion"/>
  </si>
  <si>
    <t>ROB FO of COSP</t>
    <phoneticPr fontId="1" type="noConversion"/>
  </si>
  <si>
    <t>定速航行時的輕油存量</t>
    <phoneticPr fontId="1" type="noConversion"/>
  </si>
  <si>
    <t>ETA Next Port</t>
    <phoneticPr fontId="1" type="noConversion"/>
  </si>
  <si>
    <t>預計抵達下一港時間</t>
    <phoneticPr fontId="1" type="noConversion"/>
  </si>
  <si>
    <t>手動</t>
    <phoneticPr fontId="1" type="noConversion"/>
  </si>
  <si>
    <t>Estimate Distance</t>
    <phoneticPr fontId="1" type="noConversion"/>
  </si>
  <si>
    <t>預估距離</t>
    <phoneticPr fontId="1" type="noConversion"/>
  </si>
  <si>
    <t>ROB DO of COSP</t>
    <phoneticPr fontId="1" type="noConversion"/>
  </si>
  <si>
    <t>手動</t>
    <phoneticPr fontId="1" type="noConversion"/>
  </si>
  <si>
    <t>Name</t>
    <phoneticPr fontId="1" type="noConversion"/>
  </si>
  <si>
    <t>船名</t>
    <phoneticPr fontId="1" type="noConversion"/>
  </si>
  <si>
    <t>Long</t>
    <phoneticPr fontId="1" type="noConversion"/>
  </si>
  <si>
    <t>Lat</t>
    <phoneticPr fontId="1" type="noConversion"/>
  </si>
  <si>
    <t>經度</t>
    <phoneticPr fontId="1" type="noConversion"/>
  </si>
  <si>
    <t>緯度</t>
    <phoneticPr fontId="1" type="noConversion"/>
  </si>
  <si>
    <t>Course</t>
    <phoneticPr fontId="1" type="noConversion"/>
  </si>
  <si>
    <t>航向</t>
    <phoneticPr fontId="1" type="noConversion"/>
  </si>
  <si>
    <t>航速</t>
    <phoneticPr fontId="1" type="noConversion"/>
  </si>
  <si>
    <t>主機轉速</t>
    <phoneticPr fontId="1" type="noConversion"/>
  </si>
  <si>
    <t>滑失率</t>
    <phoneticPr fontId="1" type="noConversion"/>
  </si>
  <si>
    <t>RPM</t>
    <phoneticPr fontId="1" type="noConversion"/>
  </si>
  <si>
    <t>Average Speed</t>
    <phoneticPr fontId="1" type="noConversion"/>
  </si>
  <si>
    <t>SLIP</t>
    <phoneticPr fontId="1" type="noConversion"/>
  </si>
  <si>
    <t xml:space="preserve">ROB FO </t>
    <phoneticPr fontId="1" type="noConversion"/>
  </si>
  <si>
    <t xml:space="preserve">ROB DO </t>
    <phoneticPr fontId="1" type="noConversion"/>
  </si>
  <si>
    <t xml:space="preserve">ROB FW </t>
    <phoneticPr fontId="1" type="noConversion"/>
  </si>
  <si>
    <t>重油存量</t>
    <phoneticPr fontId="1" type="noConversion"/>
  </si>
  <si>
    <t>輕油存量</t>
    <phoneticPr fontId="1" type="noConversion"/>
  </si>
  <si>
    <t>淡水存量</t>
    <phoneticPr fontId="1" type="noConversion"/>
  </si>
  <si>
    <t>主機汽缸油存量</t>
    <phoneticPr fontId="1" type="noConversion"/>
  </si>
  <si>
    <t>主機系統油存量</t>
    <phoneticPr fontId="1" type="noConversion"/>
  </si>
  <si>
    <t>輔機系統油存量</t>
    <phoneticPr fontId="1" type="noConversion"/>
  </si>
  <si>
    <t>蒲式風級</t>
    <phoneticPr fontId="1" type="noConversion"/>
  </si>
  <si>
    <t>道格拉斯浪級</t>
    <phoneticPr fontId="1" type="noConversion"/>
  </si>
  <si>
    <t>Cargo Condition</t>
    <phoneticPr fontId="1" type="noConversion"/>
  </si>
  <si>
    <t>貨物狀況</t>
    <phoneticPr fontId="1" type="noConversion"/>
  </si>
  <si>
    <t>手動</t>
    <phoneticPr fontId="1" type="noConversion"/>
  </si>
  <si>
    <t>日航程</t>
    <phoneticPr fontId="1" type="noConversion"/>
  </si>
  <si>
    <t>現在位置到下一港的距離</t>
    <phoneticPr fontId="1" type="noConversion"/>
  </si>
  <si>
    <t>Balance Distance</t>
    <phoneticPr fontId="1" type="noConversion"/>
  </si>
  <si>
    <t>每日裝貨量</t>
    <phoneticPr fontId="1" type="noConversion"/>
  </si>
  <si>
    <t>每日卸貨量</t>
    <phoneticPr fontId="1" type="noConversion"/>
  </si>
  <si>
    <t>總裝貨量</t>
    <phoneticPr fontId="1" type="noConversion"/>
  </si>
  <si>
    <t>總卸貨量</t>
    <phoneticPr fontId="1" type="noConversion"/>
  </si>
  <si>
    <t>ETCD</t>
    <phoneticPr fontId="1" type="noConversion"/>
  </si>
  <si>
    <t>預計完工離港時間</t>
    <phoneticPr fontId="1" type="noConversion"/>
  </si>
  <si>
    <t>工班數量</t>
    <phoneticPr fontId="1" type="noConversion"/>
  </si>
  <si>
    <t>手動</t>
    <phoneticPr fontId="1" type="noConversion"/>
  </si>
  <si>
    <t>天氣狀況（cloudy, rainy, fog, snow, strong wind, against strong wind）</t>
    <phoneticPr fontId="1" type="noConversion"/>
  </si>
  <si>
    <t>其他說明（如有）</t>
    <phoneticPr fontId="1" type="noConversion"/>
  </si>
  <si>
    <t>手動</t>
    <phoneticPr fontId="1" type="noConversion"/>
  </si>
  <si>
    <t>ROB FO of COSP Last Port</t>
    <phoneticPr fontId="1" type="noConversion"/>
  </si>
  <si>
    <t>ROB DO of COSP Last Port</t>
    <phoneticPr fontId="1" type="noConversion"/>
  </si>
  <si>
    <t>前一港定速航行重油存量</t>
    <phoneticPr fontId="1" type="noConversion"/>
  </si>
  <si>
    <t>前一港定速航行輕油存量</t>
    <phoneticPr fontId="1" type="noConversion"/>
  </si>
  <si>
    <t>前一港定速航行時的主機汽缸油存量</t>
    <phoneticPr fontId="1" type="noConversion"/>
  </si>
  <si>
    <t>前一港定速航行時的主機系統油存量</t>
    <phoneticPr fontId="1" type="noConversion"/>
  </si>
  <si>
    <t>ETB</t>
    <phoneticPr fontId="1" type="noConversion"/>
  </si>
  <si>
    <t>預計靠泊時間</t>
    <phoneticPr fontId="1" type="noConversion"/>
  </si>
  <si>
    <t>ROB FW of COSP</t>
    <phoneticPr fontId="1" type="noConversion"/>
  </si>
  <si>
    <t>定速航行時的淡水存量</t>
    <phoneticPr fontId="1" type="noConversion"/>
  </si>
  <si>
    <t>定速航行時的主機汽缸油存量</t>
    <phoneticPr fontId="1" type="noConversion"/>
  </si>
  <si>
    <t>定速航行時的主機系統油存量</t>
    <phoneticPr fontId="1" type="noConversion"/>
  </si>
  <si>
    <t>定速航行時的輔機系統油存量</t>
    <phoneticPr fontId="1" type="noConversion"/>
  </si>
  <si>
    <t>手動</t>
    <phoneticPr fontId="1" type="noConversion"/>
  </si>
  <si>
    <t>[格式5-移泊電報] Shifting Report</t>
    <phoneticPr fontId="1" type="noConversion"/>
  </si>
  <si>
    <t>移船時重油存量</t>
    <phoneticPr fontId="1" type="noConversion"/>
  </si>
  <si>
    <t>移船時輕油存量</t>
    <phoneticPr fontId="1" type="noConversion"/>
  </si>
  <si>
    <t>移船時淡水存量</t>
    <phoneticPr fontId="1" type="noConversion"/>
  </si>
  <si>
    <t>移船時主機汽缸油存量</t>
    <phoneticPr fontId="1" type="noConversion"/>
  </si>
  <si>
    <t>移船時主機系統油存量</t>
    <phoneticPr fontId="1" type="noConversion"/>
  </si>
  <si>
    <t>ETD</t>
    <phoneticPr fontId="1" type="noConversion"/>
  </si>
  <si>
    <t>ETB</t>
    <phoneticPr fontId="1" type="noConversion"/>
  </si>
  <si>
    <t>若有流量計則為自動帶入</t>
    <phoneticPr fontId="1" type="noConversion"/>
  </si>
  <si>
    <t>起錨時間</t>
    <phoneticPr fontId="1" type="noConversion"/>
  </si>
  <si>
    <t>開始移船</t>
    <phoneticPr fontId="1" type="noConversion"/>
  </si>
  <si>
    <t>預計離開</t>
    <phoneticPr fontId="1" type="noConversion"/>
  </si>
  <si>
    <t>預計靠泊</t>
    <phoneticPr fontId="1" type="noConversion"/>
  </si>
  <si>
    <t>船舶狀況（重載或空載）</t>
    <phoneticPr fontId="1" type="noConversion"/>
  </si>
  <si>
    <t>Wind Direction</t>
    <phoneticPr fontId="1" type="noConversion"/>
  </si>
  <si>
    <t>風向</t>
    <phoneticPr fontId="1" type="noConversion"/>
  </si>
  <si>
    <t>Master's Name</t>
    <phoneticPr fontId="1" type="noConversion"/>
  </si>
  <si>
    <t>船長大名</t>
    <phoneticPr fontId="1" type="noConversion"/>
  </si>
  <si>
    <t>Time of All Lines Made Fast</t>
    <phoneticPr fontId="1" type="noConversion"/>
  </si>
  <si>
    <t>纜繩全部繫上（靠泊）時間</t>
    <phoneticPr fontId="1" type="noConversion"/>
  </si>
  <si>
    <t>停止使用引擎推進時間</t>
    <phoneticPr fontId="1" type="noConversion"/>
  </si>
  <si>
    <t>類別</t>
    <phoneticPr fontId="1" type="noConversion"/>
  </si>
  <si>
    <t>船舶基本資訊</t>
    <phoneticPr fontId="1" type="noConversion"/>
  </si>
  <si>
    <t>油料紀錄</t>
    <phoneticPr fontId="1" type="noConversion"/>
  </si>
  <si>
    <t>天氣</t>
    <phoneticPr fontId="1" type="noConversion"/>
  </si>
  <si>
    <t>主機停俥的輕油存量</t>
    <phoneticPr fontId="1" type="noConversion"/>
  </si>
  <si>
    <t>主機停俥的主機汽缸油存量</t>
    <phoneticPr fontId="1" type="noConversion"/>
  </si>
  <si>
    <t>主機停俥的主機系統油存量</t>
    <phoneticPr fontId="1" type="noConversion"/>
  </si>
  <si>
    <t>主機停俥的輔機系統油存量</t>
    <phoneticPr fontId="1" type="noConversion"/>
  </si>
  <si>
    <t>這邊是指靠泊好準備裝卸貨的存油</t>
    <phoneticPr fontId="1" type="noConversion"/>
  </si>
  <si>
    <t>船舶基本資料</t>
    <phoneticPr fontId="1" type="noConversion"/>
  </si>
  <si>
    <t>吃水</t>
    <phoneticPr fontId="1" type="noConversion"/>
  </si>
  <si>
    <t>定速航行期間總重油量</t>
    <phoneticPr fontId="1" type="noConversion"/>
  </si>
  <si>
    <t>定速航行期間總輕油量</t>
    <phoneticPr fontId="1" type="noConversion"/>
  </si>
  <si>
    <t>每日重油存量</t>
    <phoneticPr fontId="1" type="noConversion"/>
  </si>
  <si>
    <t>每日輕油存量</t>
    <phoneticPr fontId="1" type="noConversion"/>
  </si>
  <si>
    <t>每日淡水存量</t>
    <phoneticPr fontId="1" type="noConversion"/>
  </si>
  <si>
    <t>每日主機汽缸油存量</t>
    <phoneticPr fontId="1" type="noConversion"/>
  </si>
  <si>
    <t>每日主機系統油存量</t>
    <phoneticPr fontId="1" type="noConversion"/>
  </si>
  <si>
    <t>每日輔機系統油存量</t>
    <phoneticPr fontId="1" type="noConversion"/>
  </si>
  <si>
    <t>前24小時重油耗量</t>
    <phoneticPr fontId="1" type="noConversion"/>
  </si>
  <si>
    <t>前24小時輕油耗量</t>
    <phoneticPr fontId="1" type="noConversion"/>
  </si>
  <si>
    <t>前24小時淡水耗量</t>
    <phoneticPr fontId="1" type="noConversion"/>
  </si>
  <si>
    <t>前24小時主機汽缸油耗量</t>
    <phoneticPr fontId="1" type="noConversion"/>
  </si>
  <si>
    <t>前24小時主機系統油耗量</t>
    <phoneticPr fontId="1" type="noConversion"/>
  </si>
  <si>
    <t>前24小時輔機系統油耗量</t>
    <phoneticPr fontId="1" type="noConversion"/>
  </si>
  <si>
    <t>類別</t>
    <phoneticPr fontId="1" type="noConversion"/>
  </si>
  <si>
    <t>船舶基本資料</t>
    <phoneticPr fontId="1" type="noConversion"/>
  </si>
  <si>
    <t>天氣</t>
    <phoneticPr fontId="1" type="noConversion"/>
  </si>
  <si>
    <t>其他</t>
    <phoneticPr fontId="1" type="noConversion"/>
  </si>
  <si>
    <t>類別</t>
    <phoneticPr fontId="1" type="noConversion"/>
  </si>
  <si>
    <t>開裝時間或開卸時間</t>
    <phoneticPr fontId="1" type="noConversion"/>
  </si>
  <si>
    <t>裝貨及卸貨以下拉式選單選擇</t>
    <phoneticPr fontId="1" type="noConversion"/>
  </si>
  <si>
    <t>完裝時間或完卸時間</t>
    <phoneticPr fontId="1" type="noConversion"/>
  </si>
  <si>
    <t>機器備便時間</t>
    <phoneticPr fontId="1" type="noConversion"/>
  </si>
  <si>
    <t>Time of P.O.B</t>
    <phoneticPr fontId="1" type="noConversion"/>
  </si>
  <si>
    <t>Time of 1st Lines Made Fast</t>
    <phoneticPr fontId="1" type="noConversion"/>
  </si>
  <si>
    <t>第一根纜繩繫上（靠泊）時間</t>
    <phoneticPr fontId="1" type="noConversion"/>
  </si>
  <si>
    <t>準備備俥</t>
    <phoneticPr fontId="1" type="noConversion"/>
  </si>
  <si>
    <t>Time of R.S.E</t>
    <phoneticPr fontId="1" type="noConversion"/>
  </si>
  <si>
    <t>Time of R.S.E</t>
    <phoneticPr fontId="1" type="noConversion"/>
  </si>
  <si>
    <t>Time of E/SB</t>
    <phoneticPr fontId="1" type="noConversion"/>
  </si>
  <si>
    <t>Time of P.O.B.</t>
    <phoneticPr fontId="1" type="noConversion"/>
  </si>
  <si>
    <t>Time of D.O.P</t>
    <phoneticPr fontId="1" type="noConversion"/>
  </si>
  <si>
    <t>Time of COSP</t>
    <phoneticPr fontId="1" type="noConversion"/>
  </si>
  <si>
    <t>ROB FO of Completed Working</t>
    <phoneticPr fontId="1" type="noConversion"/>
  </si>
  <si>
    <t>ROB DO of Completed Working</t>
    <phoneticPr fontId="1" type="noConversion"/>
  </si>
  <si>
    <t>ROB FW of Completed Working</t>
    <phoneticPr fontId="1" type="noConversion"/>
  </si>
  <si>
    <t>完工時的重油存量</t>
    <phoneticPr fontId="1" type="noConversion"/>
  </si>
  <si>
    <t>完工時的輕油存量</t>
    <phoneticPr fontId="1" type="noConversion"/>
  </si>
  <si>
    <t>完工時的淡水存量</t>
    <phoneticPr fontId="1" type="noConversion"/>
  </si>
  <si>
    <t>完工時的主機汽缸油存量</t>
    <phoneticPr fontId="1" type="noConversion"/>
  </si>
  <si>
    <t>完工時的主機系統油存量</t>
    <phoneticPr fontId="1" type="noConversion"/>
  </si>
  <si>
    <t>完工時的輔機系統油存量</t>
    <phoneticPr fontId="1" type="noConversion"/>
  </si>
  <si>
    <t>船舶基本資訊</t>
    <phoneticPr fontId="1" type="noConversion"/>
  </si>
  <si>
    <t>吃水</t>
    <phoneticPr fontId="1" type="noConversion"/>
  </si>
  <si>
    <t>Cargo Name</t>
    <phoneticPr fontId="1" type="noConversion"/>
  </si>
  <si>
    <t>貨物名稱</t>
    <phoneticPr fontId="1" type="noConversion"/>
  </si>
  <si>
    <t>本港加油水狀況</t>
    <phoneticPr fontId="1" type="noConversion"/>
  </si>
  <si>
    <t xml:space="preserve">Time of POB </t>
    <phoneticPr fontId="1" type="noConversion"/>
  </si>
  <si>
    <t>Time of Shift Start</t>
    <phoneticPr fontId="1" type="noConversion"/>
  </si>
  <si>
    <t>手動</t>
    <phoneticPr fontId="1" type="noConversion"/>
  </si>
  <si>
    <t>手動</t>
    <phoneticPr fontId="1" type="noConversion"/>
  </si>
  <si>
    <t>手動+下拉式選單</t>
    <phoneticPr fontId="1" type="noConversion"/>
  </si>
  <si>
    <t>錨地或泊位</t>
    <phoneticPr fontId="1" type="noConversion"/>
  </si>
  <si>
    <t>準備備俥</t>
    <phoneticPr fontId="1" type="noConversion"/>
  </si>
  <si>
    <t>機器備便</t>
    <phoneticPr fontId="1" type="noConversion"/>
  </si>
  <si>
    <t>F.W.E</t>
    <phoneticPr fontId="1" type="noConversion"/>
  </si>
  <si>
    <t>Time of E/SB</t>
    <phoneticPr fontId="1" type="noConversion"/>
  </si>
  <si>
    <t>Time of R.S.E</t>
    <phoneticPr fontId="1" type="noConversion"/>
  </si>
  <si>
    <t>ROB FO of R.S.E</t>
    <phoneticPr fontId="1" type="noConversion"/>
  </si>
  <si>
    <t>ROB DO  of R.S.E</t>
    <phoneticPr fontId="1" type="noConversion"/>
  </si>
  <si>
    <t>ROB FO of Shift End or F.W.E</t>
    <phoneticPr fontId="1" type="noConversion"/>
  </si>
  <si>
    <t>可選擇 Ballast or Laden，抵達時的狀況</t>
    <phoneticPr fontId="1" type="noConversion"/>
  </si>
  <si>
    <t>抵達本港結束海上定速航行時的輕油存量</t>
    <phoneticPr fontId="1" type="noConversion"/>
  </si>
  <si>
    <t>抵達本港結束海上定速航行時的主機汽缸油存量</t>
    <phoneticPr fontId="1" type="noConversion"/>
  </si>
  <si>
    <t>抵達本港結束海上定速航行時的主機系統油存量</t>
    <phoneticPr fontId="1" type="noConversion"/>
  </si>
  <si>
    <t>抵達本港結束海上定速航行時的輔機系統油存量</t>
    <phoneticPr fontId="1" type="noConversion"/>
  </si>
  <si>
    <t>主機轉速</t>
    <phoneticPr fontId="1" type="noConversion"/>
  </si>
  <si>
    <t>滑失率</t>
    <phoneticPr fontId="1" type="noConversion"/>
  </si>
  <si>
    <t>Commence Loading/Discharging</t>
    <phoneticPr fontId="1" type="noConversion"/>
  </si>
  <si>
    <t>實際開工時間（裝貨或卸貨）</t>
    <phoneticPr fontId="1" type="noConversion"/>
  </si>
  <si>
    <t>下拉式選裝或卸貨</t>
    <phoneticPr fontId="1" type="noConversion"/>
  </si>
  <si>
    <t>開始定速航行時間</t>
    <phoneticPr fontId="1" type="noConversion"/>
  </si>
  <si>
    <t>EST Commence Working</t>
    <phoneticPr fontId="1" type="noConversion"/>
  </si>
  <si>
    <t>預計開工時間</t>
    <phoneticPr fontId="1" type="noConversion"/>
  </si>
  <si>
    <t>手動</t>
    <phoneticPr fontId="1" type="noConversion"/>
  </si>
  <si>
    <t>接岸電設備（若有）</t>
    <phoneticPr fontId="1" type="noConversion"/>
  </si>
  <si>
    <t>手動勾選</t>
    <phoneticPr fontId="1" type="noConversion"/>
  </si>
  <si>
    <t>總作業時間（hour）</t>
    <phoneticPr fontId="1" type="noConversion"/>
  </si>
  <si>
    <t>自動</t>
    <phoneticPr fontId="1" type="noConversion"/>
  </si>
  <si>
    <t>涌浪高度（meter）</t>
    <phoneticPr fontId="1" type="noConversion"/>
  </si>
  <si>
    <t>每日報</t>
    <phoneticPr fontId="1" type="noConversion"/>
  </si>
  <si>
    <t>[格式3-每日電報] Daily Report</t>
    <phoneticPr fontId="1" type="noConversion"/>
  </si>
  <si>
    <t>Total Time of Waiting(hour)</t>
    <phoneticPr fontId="1" type="noConversion"/>
  </si>
  <si>
    <t>可選擇 Loading, or Discharging or Waiting for berth or Waiting for commence working, Waiting for Sailing</t>
    <phoneticPr fontId="1" type="noConversion"/>
  </si>
  <si>
    <t>定速航行總時間(Hours)</t>
    <phoneticPr fontId="1" type="noConversion"/>
  </si>
  <si>
    <t>等泊時間總計(hour)</t>
    <phoneticPr fontId="1" type="noConversion"/>
  </si>
  <si>
    <t>起錨準備進港備俥的輕油量</t>
    <phoneticPr fontId="1" type="noConversion"/>
  </si>
  <si>
    <t>手動+下拉式選單</t>
    <phoneticPr fontId="1" type="noConversion"/>
  </si>
  <si>
    <t>選擇泊位或錨地</t>
    <phoneticPr fontId="1" type="noConversion"/>
  </si>
  <si>
    <t xml:space="preserve">Time of Anchor Aweigh </t>
    <phoneticPr fontId="1" type="noConversion"/>
  </si>
  <si>
    <t xml:space="preserve">Time of Cast Off or Anchor Aweigh </t>
    <phoneticPr fontId="1" type="noConversion"/>
  </si>
  <si>
    <t>離泊位或起錨時間</t>
    <phoneticPr fontId="1" type="noConversion"/>
  </si>
  <si>
    <t>Daily Report</t>
    <phoneticPr fontId="1" type="noConversion"/>
  </si>
  <si>
    <t>Shifting Report</t>
    <phoneticPr fontId="1" type="noConversion"/>
  </si>
  <si>
    <t>ROB FO of F.W.E</t>
    <phoneticPr fontId="1" type="noConversion"/>
  </si>
  <si>
    <t>主機停俥的重油存量</t>
    <phoneticPr fontId="1" type="noConversion"/>
  </si>
  <si>
    <t>抵達本港結束海上定速航行時的重油存量</t>
    <phoneticPr fontId="1" type="noConversion"/>
  </si>
  <si>
    <t>Good/Normal/Bad/Serious</t>
    <phoneticPr fontId="1" type="noConversion"/>
  </si>
  <si>
    <t>天氣狀況</t>
    <phoneticPr fontId="1" type="noConversion"/>
  </si>
  <si>
    <t>（cloudy, rainy, fog, snow, strong wind, against strong wind）</t>
    <phoneticPr fontId="1" type="noConversion"/>
  </si>
  <si>
    <t>Current Situation</t>
    <phoneticPr fontId="1" type="noConversion"/>
  </si>
  <si>
    <t>抵達港區，飄航或是下錨等泊時，就是結束定速航行了</t>
    <phoneticPr fontId="1" type="noConversion"/>
  </si>
  <si>
    <t>Time of Tug Attended</t>
    <phoneticPr fontId="1" type="noConversion"/>
  </si>
  <si>
    <t>拖輪協助的時間</t>
    <phoneticPr fontId="1" type="noConversion"/>
  </si>
  <si>
    <t>Time of Tug Left</t>
    <phoneticPr fontId="1" type="noConversion"/>
  </si>
  <si>
    <t>拖輪離開的時間</t>
    <phoneticPr fontId="1" type="noConversion"/>
  </si>
  <si>
    <t>自動計算，前一份離港報的COSP扣除本份抵港報的EOSP時間</t>
    <phoneticPr fontId="1" type="noConversion"/>
  </si>
  <si>
    <t>ROB FO of R.S.E</t>
    <phoneticPr fontId="1" type="noConversion"/>
  </si>
  <si>
    <t>Time of Shift End of Anchorage or Berth</t>
    <phoneticPr fontId="1" type="noConversion"/>
  </si>
  <si>
    <t>結束移船（錨地或泊位)</t>
    <phoneticPr fontId="1" type="noConversion"/>
  </si>
  <si>
    <t>自動</t>
    <phoneticPr fontId="1" type="noConversion"/>
  </si>
  <si>
    <t>[格式5-特殊情況電報] Irregular Report</t>
    <phoneticPr fontId="1" type="noConversion"/>
  </si>
  <si>
    <t>特殊情況報</t>
    <phoneticPr fontId="1" type="noConversion"/>
  </si>
  <si>
    <t>事發時的重油存量</t>
    <phoneticPr fontId="1" type="noConversion"/>
  </si>
  <si>
    <t>事發時的輕油存量</t>
    <phoneticPr fontId="1" type="noConversion"/>
  </si>
  <si>
    <t>事發時的主機汽缸油存量</t>
    <phoneticPr fontId="1" type="noConversion"/>
  </si>
  <si>
    <t>事發時的主機系統油存量</t>
    <phoneticPr fontId="1" type="noConversion"/>
  </si>
  <si>
    <t>事發時的輔機系統油存量</t>
    <phoneticPr fontId="1" type="noConversion"/>
  </si>
  <si>
    <t>ROB FO at Event</t>
    <phoneticPr fontId="1" type="noConversion"/>
  </si>
  <si>
    <t>ROB DO at Event</t>
    <phoneticPr fontId="1" type="noConversion"/>
  </si>
  <si>
    <t>航程距離</t>
    <phoneticPr fontId="1" type="noConversion"/>
  </si>
  <si>
    <t>定速航行時的重油存量</t>
    <phoneticPr fontId="1" type="noConversion"/>
  </si>
  <si>
    <t>事發時存油或是重新起航時的存油</t>
    <phoneticPr fontId="1" type="noConversion"/>
  </si>
  <si>
    <t>Drifting or Anchor</t>
    <phoneticPr fontId="1" type="noConversion"/>
  </si>
  <si>
    <t>可選擇 Ballast or Laden</t>
    <phoneticPr fontId="1" type="noConversion"/>
  </si>
  <si>
    <t>事發時或重新啟航的緯度</t>
    <phoneticPr fontId="1" type="noConversion"/>
  </si>
  <si>
    <t>事發時的存水</t>
    <phoneticPr fontId="1" type="noConversion"/>
  </si>
  <si>
    <t>FW of F.W.E</t>
    <phoneticPr fontId="1" type="noConversion"/>
  </si>
  <si>
    <t>主機停俥的淡水存量</t>
    <phoneticPr fontId="1" type="noConversion"/>
  </si>
  <si>
    <t>前一港定速航行時的輔機系統油存量</t>
    <phoneticPr fontId="1" type="noConversion"/>
  </si>
  <si>
    <t>前一港定速航行時的淡水存量</t>
    <phoneticPr fontId="1" type="noConversion"/>
  </si>
  <si>
    <t>抵達本港結束海上定速航行時的淡水存量</t>
    <phoneticPr fontId="1" type="noConversion"/>
  </si>
  <si>
    <t>Dept（Anchor or Berth or Drifting） Time Draft (F)</t>
    <phoneticPr fontId="1" type="noConversion"/>
  </si>
  <si>
    <t>Dept（Anchor or Berth or Drifting） Time Draft (M)</t>
    <phoneticPr fontId="1" type="noConversion"/>
  </si>
  <si>
    <t>Dept（Anchor or Berth or Drifting） Time Draft (A)</t>
    <phoneticPr fontId="1" type="noConversion"/>
  </si>
  <si>
    <t>離開港區範圍（Anchor or Berth or Drifting）的船尾吃水</t>
    <phoneticPr fontId="1" type="noConversion"/>
  </si>
  <si>
    <t>Anchor or Berth or Drifting 採下拉式選單</t>
    <phoneticPr fontId="1" type="noConversion"/>
  </si>
  <si>
    <t>Anchor or Berth or Drifting 採下拉式選單</t>
    <phoneticPr fontId="1" type="noConversion"/>
  </si>
  <si>
    <t>等泊時輕油油耗總計</t>
    <phoneticPr fontId="1" type="noConversion"/>
  </si>
  <si>
    <t>離港報</t>
    <phoneticPr fontId="1" type="noConversion"/>
  </si>
  <si>
    <t>[格式4離港電報] Departure Report</t>
    <phoneticPr fontId="1" type="noConversion"/>
  </si>
  <si>
    <t>ROB DO of R.S.E</t>
    <phoneticPr fontId="1" type="noConversion"/>
  </si>
  <si>
    <t>FW of R.S.E</t>
    <phoneticPr fontId="1" type="noConversion"/>
  </si>
  <si>
    <t>起錨準備進港備俥的主機汽缸油存量</t>
    <phoneticPr fontId="1" type="noConversion"/>
  </si>
  <si>
    <t>起錨準備進港備俥的主機系統油存量</t>
    <phoneticPr fontId="1" type="noConversion"/>
  </si>
  <si>
    <t>起錨準備進港備俥的輔機系統油存量</t>
    <phoneticPr fontId="1" type="noConversion"/>
  </si>
  <si>
    <t>起錨準備進港備俥的淡水存量</t>
    <phoneticPr fontId="1" type="noConversion"/>
  </si>
  <si>
    <t>準備備俥</t>
    <phoneticPr fontId="1" type="noConversion"/>
  </si>
  <si>
    <t>自動</t>
    <phoneticPr fontId="1" type="noConversion"/>
  </si>
  <si>
    <t>自動</t>
    <phoneticPr fontId="1" type="noConversion"/>
  </si>
  <si>
    <t>手動+下拉式選單</t>
    <phoneticPr fontId="1" type="noConversion"/>
  </si>
  <si>
    <t>Irregular Report</t>
    <phoneticPr fontId="1" type="noConversion"/>
  </si>
  <si>
    <t>航程平均輕油</t>
    <phoneticPr fontId="1" type="noConversion"/>
  </si>
  <si>
    <t>剩餘貨量</t>
    <phoneticPr fontId="1" type="noConversion"/>
  </si>
  <si>
    <t>等泊平均輕油</t>
    <phoneticPr fontId="1" type="noConversion"/>
  </si>
  <si>
    <t>第61項等泊重油總計除以第65項等泊總時間。</t>
    <phoneticPr fontId="1" type="noConversion"/>
  </si>
  <si>
    <t>第62項等泊輕油總計除以第65項等泊總時間。</t>
    <phoneticPr fontId="1" type="noConversion"/>
  </si>
  <si>
    <t>Start Stoppage, Resume Voyage, Others</t>
    <phoneticPr fontId="1" type="noConversion"/>
  </si>
  <si>
    <t>預計恢復正常航行時間</t>
    <phoneticPr fontId="1" type="noConversion"/>
  </si>
  <si>
    <t>Estimate Resume Sailing Time</t>
    <phoneticPr fontId="1" type="noConversion"/>
  </si>
  <si>
    <t>同上</t>
    <phoneticPr fontId="1" type="noConversion"/>
  </si>
  <si>
    <t>前24小時重油耗量</t>
    <phoneticPr fontId="1" type="noConversion"/>
  </si>
  <si>
    <t>前24小時輕油耗量</t>
    <phoneticPr fontId="1" type="noConversion"/>
  </si>
  <si>
    <t>前24小時主機汽缸油耗量</t>
    <phoneticPr fontId="1" type="noConversion"/>
  </si>
  <si>
    <t>前24小時輔機系統油耗量</t>
    <phoneticPr fontId="1" type="noConversion"/>
  </si>
  <si>
    <t>前24小時淡水耗量</t>
    <phoneticPr fontId="1" type="noConversion"/>
  </si>
  <si>
    <t>依據AIS等資料抓出航行軌跡加總</t>
    <phoneticPr fontId="1" type="noConversion"/>
  </si>
  <si>
    <t>作業平均重油油耗</t>
    <phoneticPr fontId="1" type="noConversion"/>
  </si>
  <si>
    <t>作業平均輕油油耗</t>
    <phoneticPr fontId="1" type="noConversion"/>
  </si>
  <si>
    <t>Voyage Number</t>
    <phoneticPr fontId="1" type="noConversion"/>
  </si>
  <si>
    <t>Vessel Condition</t>
    <phoneticPr fontId="1" type="noConversion"/>
  </si>
  <si>
    <t>FO Consumption Last 24 Hours</t>
    <phoneticPr fontId="1" type="noConversion"/>
  </si>
  <si>
    <t>DO Consumption Last 24 Hours</t>
    <phoneticPr fontId="1" type="noConversion"/>
  </si>
  <si>
    <t>FW Consumption Last 24 Hours</t>
    <phoneticPr fontId="1" type="noConversion"/>
  </si>
  <si>
    <t>Weather Condition</t>
    <phoneticPr fontId="1" type="noConversion"/>
  </si>
  <si>
    <t>Wind Speed</t>
    <phoneticPr fontId="1" type="noConversion"/>
  </si>
  <si>
    <t>Beaufort Wind Scale</t>
    <phoneticPr fontId="1" type="noConversion"/>
  </si>
  <si>
    <t>Running Distance from Last 24 Hrs</t>
    <phoneticPr fontId="1" type="noConversion"/>
  </si>
  <si>
    <t>Ship Name</t>
    <phoneticPr fontId="1" type="noConversion"/>
  </si>
  <si>
    <t>Voyage Name</t>
    <phoneticPr fontId="1" type="noConversion"/>
  </si>
  <si>
    <t>Port Name</t>
    <phoneticPr fontId="1" type="noConversion"/>
  </si>
  <si>
    <t>Vessel Condition</t>
    <phoneticPr fontId="1" type="noConversion"/>
  </si>
  <si>
    <t>Time of NOR Tender ( if any )</t>
    <phoneticPr fontId="1" type="noConversion"/>
  </si>
  <si>
    <t>Arrive Time of Dropping Anchor (If Anchor)</t>
    <phoneticPr fontId="1" type="noConversion"/>
  </si>
  <si>
    <t>EOSP-Anchor Position or Berth Distance</t>
    <phoneticPr fontId="1" type="noConversion"/>
  </si>
  <si>
    <t>Time of 1st Lines Made Fast</t>
    <phoneticPr fontId="1" type="noConversion"/>
  </si>
  <si>
    <t>Arrive（Anchor or Drifting or Berthing） Time Draft (F)</t>
    <phoneticPr fontId="1" type="noConversion"/>
  </si>
  <si>
    <t>Arrive（Anchor or Drifting or Berthing） Time Draft (M)</t>
    <phoneticPr fontId="1" type="noConversion"/>
  </si>
  <si>
    <t>Arrive（Anchor or Drifting or Berthing） Time Draft (A)</t>
    <phoneticPr fontId="1" type="noConversion"/>
  </si>
  <si>
    <t>Arrive（Anchor or Drifting or Berthing） Long</t>
    <phoneticPr fontId="1" type="noConversion"/>
  </si>
  <si>
    <t>Arrive（Anchor or Drifting or Berthing） Lat</t>
    <phoneticPr fontId="1" type="noConversion"/>
  </si>
  <si>
    <t>Total Time of Sea Passage</t>
    <phoneticPr fontId="1" type="noConversion"/>
  </si>
  <si>
    <t>Total Consumption of FO</t>
    <phoneticPr fontId="1" type="noConversion"/>
  </si>
  <si>
    <t>Total Consumption of DO</t>
    <phoneticPr fontId="1" type="noConversion"/>
  </si>
  <si>
    <t>Total Consumption of FO When Waiting</t>
    <phoneticPr fontId="1" type="noConversion"/>
  </si>
  <si>
    <t>Total Consumption of DO When Waiting</t>
    <phoneticPr fontId="1" type="noConversion"/>
  </si>
  <si>
    <t>Weather Condition</t>
    <phoneticPr fontId="1" type="noConversion"/>
  </si>
  <si>
    <t>Cargo Condtion</t>
    <phoneticPr fontId="1" type="noConversion"/>
  </si>
  <si>
    <t>Total Time Using When Waiting(If Any)</t>
    <phoneticPr fontId="1" type="noConversion"/>
  </si>
  <si>
    <t>Ship Name</t>
    <phoneticPr fontId="1" type="noConversion"/>
  </si>
  <si>
    <t>Voyage Name</t>
    <phoneticPr fontId="1" type="noConversion"/>
  </si>
  <si>
    <t>Port Name</t>
    <phoneticPr fontId="1" type="noConversion"/>
  </si>
  <si>
    <t>Vessel Condition-1</t>
    <phoneticPr fontId="1" type="noConversion"/>
  </si>
  <si>
    <t>Vessel Condition-2</t>
    <phoneticPr fontId="1" type="noConversion"/>
  </si>
  <si>
    <t>Shore Electronic (If Any)</t>
    <phoneticPr fontId="1" type="noConversion"/>
  </si>
  <si>
    <t>Daily Cargo Loaded(MT or M3)</t>
    <phoneticPr fontId="1" type="noConversion"/>
  </si>
  <si>
    <t>Daily Cargo Discharged(MT or M3)</t>
    <phoneticPr fontId="1" type="noConversion"/>
  </si>
  <si>
    <t>Total Carego Loaded(MT or M3)</t>
    <phoneticPr fontId="1" type="noConversion"/>
  </si>
  <si>
    <t>Total Cargo Discharged(MT or M3)</t>
    <phoneticPr fontId="1" type="noConversion"/>
  </si>
  <si>
    <t>Balance Cargo</t>
    <phoneticPr fontId="1" type="noConversion"/>
  </si>
  <si>
    <t>Number of Gang Working</t>
    <phoneticPr fontId="1" type="noConversion"/>
  </si>
  <si>
    <t>Vessel's Crane or Shore Cranes</t>
    <phoneticPr fontId="1" type="noConversion"/>
  </si>
  <si>
    <t>FO Consumption Last 24 Hours</t>
    <phoneticPr fontId="1" type="noConversion"/>
  </si>
  <si>
    <t>DO Consumption Last 24 Hours</t>
    <phoneticPr fontId="1" type="noConversion"/>
  </si>
  <si>
    <t>FW Consumption Last 24 Hours</t>
    <phoneticPr fontId="1" type="noConversion"/>
  </si>
  <si>
    <t>Remark (If Aany)</t>
    <phoneticPr fontId="1" type="noConversion"/>
  </si>
  <si>
    <t>Ship Name</t>
    <phoneticPr fontId="1" type="noConversion"/>
  </si>
  <si>
    <t>Voyage Name</t>
    <phoneticPr fontId="1" type="noConversion"/>
  </si>
  <si>
    <t>Cargo of Working Commenced-Loading or Discharging</t>
    <phoneticPr fontId="1" type="noConversion"/>
  </si>
  <si>
    <t>Cargo of Working Completed-Loading or Discharging</t>
    <phoneticPr fontId="1" type="noConversion"/>
  </si>
  <si>
    <t>Total Working Hour</t>
    <phoneticPr fontId="1" type="noConversion"/>
  </si>
  <si>
    <t>Total Consumption of FO When Working</t>
    <phoneticPr fontId="1" type="noConversion"/>
  </si>
  <si>
    <t>Total Consumption of DO When Working</t>
    <phoneticPr fontId="1" type="noConversion"/>
  </si>
  <si>
    <t>Avereage Consumption of FO When Working</t>
    <phoneticPr fontId="1" type="noConversion"/>
  </si>
  <si>
    <t>Avereage Consumption of DO When Working</t>
    <phoneticPr fontId="1" type="noConversion"/>
  </si>
  <si>
    <t>Weather Condition</t>
    <phoneticPr fontId="1" type="noConversion"/>
  </si>
  <si>
    <t>Ship Name</t>
    <phoneticPr fontId="1" type="noConversion"/>
  </si>
  <si>
    <t>Port Name</t>
    <phoneticPr fontId="1" type="noConversion"/>
  </si>
  <si>
    <t>移船完畢重油存量</t>
    <phoneticPr fontId="1" type="noConversion"/>
  </si>
  <si>
    <t>移船完畢輕油存量</t>
    <phoneticPr fontId="1" type="noConversion"/>
  </si>
  <si>
    <t>移船完畢主機汽缸油存量</t>
    <phoneticPr fontId="1" type="noConversion"/>
  </si>
  <si>
    <t>移船完畢主機系統油存量</t>
    <phoneticPr fontId="1" type="noConversion"/>
  </si>
  <si>
    <t>Vessel Condition-1</t>
    <phoneticPr fontId="1" type="noConversion"/>
  </si>
  <si>
    <t>Vessel Condition-2</t>
    <phoneticPr fontId="1" type="noConversion"/>
  </si>
  <si>
    <t>事件發生時間</t>
    <phoneticPr fontId="1" type="noConversion"/>
  </si>
  <si>
    <t>FO Consumption During Event</t>
    <phoneticPr fontId="1" type="noConversion"/>
  </si>
  <si>
    <t>海浪高（meter）</t>
    <phoneticPr fontId="1" type="noConversion"/>
  </si>
  <si>
    <t>Cargo Condtion</t>
    <phoneticPr fontId="1" type="noConversion"/>
  </si>
  <si>
    <t>離開港區範圍（Anchor or Berth or Drifting）的前吃水</t>
    <phoneticPr fontId="1" type="noConversion"/>
  </si>
  <si>
    <t>Anchor or Berth or Drifting 採下拉式選單</t>
    <phoneticPr fontId="1" type="noConversion"/>
  </si>
  <si>
    <t>Dept（Anchor or Berth or Drifting） Time Draft (M)</t>
    <phoneticPr fontId="1" type="noConversion"/>
  </si>
  <si>
    <t>離開港區範圍（Anchor or Berth or Drifting）的中間吃水</t>
    <phoneticPr fontId="1" type="noConversion"/>
  </si>
  <si>
    <t>Dept（Anchor or Berth or Drifting） Time Draft (A)</t>
    <phoneticPr fontId="1" type="noConversion"/>
  </si>
  <si>
    <t>離開港區範圍（Anchor or Berth or Drifting）的船尾吃水</t>
    <phoneticPr fontId="1" type="noConversion"/>
  </si>
  <si>
    <t>離開港區範圍（Anchor or Berth or Drifting）的船首吃水</t>
    <phoneticPr fontId="1" type="noConversion"/>
  </si>
  <si>
    <t>離開港區範圍（Anchor or Berth or Drifting）的船中吃水</t>
    <phoneticPr fontId="1" type="noConversion"/>
  </si>
  <si>
    <t>Time of Tug Cast Off</t>
    <phoneticPr fontId="1" type="noConversion"/>
  </si>
  <si>
    <t>拖輪協助時間</t>
    <phoneticPr fontId="1" type="noConversion"/>
  </si>
  <si>
    <t>Time of Tug Left</t>
    <phoneticPr fontId="1" type="noConversion"/>
  </si>
  <si>
    <t>Time of Tug Attended</t>
    <phoneticPr fontId="1" type="noConversion"/>
  </si>
  <si>
    <t>拖輪離開時間</t>
    <phoneticPr fontId="1" type="noConversion"/>
  </si>
  <si>
    <t>等泊平均重油</t>
    <phoneticPr fontId="1" type="noConversion"/>
  </si>
  <si>
    <t>Average Daily Consumption of FO When Waiting</t>
    <phoneticPr fontId="1" type="noConversion"/>
  </si>
  <si>
    <t>Average Daily Consumption of DO When Waiting</t>
    <phoneticPr fontId="1" type="noConversion"/>
  </si>
  <si>
    <t>Average Daily Consumption of DO when Sailing</t>
    <phoneticPr fontId="1" type="noConversion"/>
  </si>
  <si>
    <t>Average Daily Consumption of FO when Sailing</t>
    <phoneticPr fontId="1" type="noConversion"/>
  </si>
  <si>
    <t>航程平均重油</t>
    <phoneticPr fontId="1" type="noConversion"/>
  </si>
  <si>
    <t>Running Distance for Hour</t>
    <phoneticPr fontId="1" type="noConversion"/>
  </si>
  <si>
    <t>每日航行時間，以小時計。</t>
    <phoneticPr fontId="1" type="noConversion"/>
  </si>
  <si>
    <t>SLIP(%)</t>
    <phoneticPr fontId="1" type="noConversion"/>
  </si>
  <si>
    <t>ROB M/E CYL OIL</t>
    <phoneticPr fontId="1" type="noConversion"/>
  </si>
  <si>
    <t>ROB M/E SYS LO</t>
    <phoneticPr fontId="1" type="noConversion"/>
  </si>
  <si>
    <t>M/E CYL OIL Consumption Last 24 Hours</t>
    <phoneticPr fontId="1" type="noConversion"/>
  </si>
  <si>
    <t>ROB A/E SYS LO</t>
    <phoneticPr fontId="1" type="noConversion"/>
  </si>
  <si>
    <t>海浪高（meter）</t>
    <phoneticPr fontId="1" type="noConversion"/>
  </si>
  <si>
    <t>Wind Direction</t>
    <phoneticPr fontId="1" type="noConversion"/>
  </si>
  <si>
    <t>風向</t>
    <phoneticPr fontId="1" type="noConversion"/>
  </si>
  <si>
    <t>Current Situation</t>
    <phoneticPr fontId="1" type="noConversion"/>
  </si>
  <si>
    <t>流的狀況（順流、逆流等）+流速</t>
    <phoneticPr fontId="1" type="noConversion"/>
  </si>
  <si>
    <t>Sea Height</t>
    <phoneticPr fontId="1" type="noConversion"/>
  </si>
  <si>
    <t>Wind Speed</t>
    <phoneticPr fontId="1" type="noConversion"/>
  </si>
  <si>
    <t>風速（單位kn）</t>
    <phoneticPr fontId="1" type="noConversion"/>
  </si>
  <si>
    <t>引水登船時間</t>
    <phoneticPr fontId="1" type="noConversion"/>
  </si>
  <si>
    <t>Anchor or Drifting or Berthing 下拉式選單</t>
    <phoneticPr fontId="1" type="noConversion"/>
  </si>
  <si>
    <t>Anchor or Drifting or Berthing 下拉式選單</t>
    <phoneticPr fontId="1" type="noConversion"/>
  </si>
  <si>
    <t>Anchor or Drifting or Berthing 下拉式選單</t>
    <phoneticPr fontId="1" type="noConversion"/>
  </si>
  <si>
    <t>若是東砂北運以及兩岸砂石，由於是免除航行報，因此需要這邊紀錄主機轉速。</t>
    <phoneticPr fontId="1" type="noConversion"/>
  </si>
  <si>
    <t>拖輪纜繩解掉時間</t>
    <phoneticPr fontId="1" type="noConversion"/>
  </si>
  <si>
    <t>抵達港區範圍（Anchor or Drifting or Berthing）的船首吃水</t>
    <phoneticPr fontId="1" type="noConversion"/>
  </si>
  <si>
    <t>抵達港區範圍（Anchor or Drifting or Berthing）的船中吃水</t>
    <phoneticPr fontId="1" type="noConversion"/>
  </si>
  <si>
    <t>抵達港區範圍（Anchor or Drifting or Berthing）的船尾吃水</t>
    <phoneticPr fontId="1" type="noConversion"/>
  </si>
  <si>
    <t>抵達（Anchor or Drifting or Berthing）經度</t>
    <phoneticPr fontId="1" type="noConversion"/>
  </si>
  <si>
    <t>抵達（Anchor or Drifting or Berthing）緯度</t>
    <phoneticPr fontId="1" type="noConversion"/>
  </si>
  <si>
    <t>ROB M/E SYS LO of COSP Last Port</t>
    <phoneticPr fontId="1" type="noConversion"/>
  </si>
  <si>
    <t>ROB A/E SYS LO of COSP Last Port</t>
    <phoneticPr fontId="1" type="noConversion"/>
  </si>
  <si>
    <t>ROB M/E SYS LO of EOSP</t>
    <phoneticPr fontId="1" type="noConversion"/>
  </si>
  <si>
    <t>ROB A/E SYS LO of EOSP</t>
    <phoneticPr fontId="1" type="noConversion"/>
  </si>
  <si>
    <t>ROB M/E SYS LO of R.S.E</t>
    <phoneticPr fontId="1" type="noConversion"/>
  </si>
  <si>
    <t>ROB A/E SYS LO of R.S.E</t>
    <phoneticPr fontId="1" type="noConversion"/>
  </si>
  <si>
    <t>ROB M/E SYS LO of F.W.E</t>
    <phoneticPr fontId="1" type="noConversion"/>
  </si>
  <si>
    <t>ROB A/E SYS LO of F.W.E</t>
    <phoneticPr fontId="1" type="noConversion"/>
  </si>
  <si>
    <t>Beaufort Wind Scale</t>
    <phoneticPr fontId="1" type="noConversion"/>
  </si>
  <si>
    <t>本港加油水狀況(如有)</t>
    <phoneticPr fontId="1" type="noConversion"/>
  </si>
  <si>
    <t>MECYO Supply in Port</t>
    <phoneticPr fontId="1" type="noConversion"/>
  </si>
  <si>
    <t>MESYLO Supply in Port</t>
    <phoneticPr fontId="1" type="noConversion"/>
  </si>
  <si>
    <t>AESYLO Supply in Port</t>
    <phoneticPr fontId="1" type="noConversion"/>
  </si>
  <si>
    <t>FW Supply in Port</t>
    <phoneticPr fontId="1" type="noConversion"/>
  </si>
  <si>
    <t>本港輕油補給數量</t>
    <phoneticPr fontId="1" type="noConversion"/>
  </si>
  <si>
    <t>本港主機汽缸油補給數量</t>
    <phoneticPr fontId="1" type="noConversion"/>
  </si>
  <si>
    <t>本港重油補給數量</t>
    <phoneticPr fontId="1" type="noConversion"/>
  </si>
  <si>
    <t xml:space="preserve">FO Supply in Port </t>
    <phoneticPr fontId="1" type="noConversion"/>
  </si>
  <si>
    <t>DO Supply in Port</t>
    <phoneticPr fontId="1" type="noConversion"/>
  </si>
  <si>
    <t>本港主機系統油補給數量</t>
    <phoneticPr fontId="1" type="noConversion"/>
  </si>
  <si>
    <t>本港輔機系统油補給數量</t>
    <phoneticPr fontId="1" type="noConversion"/>
  </si>
  <si>
    <t>本港加水數量</t>
    <phoneticPr fontId="1" type="noConversion"/>
  </si>
  <si>
    <t>Barge Alongside</t>
    <phoneticPr fontId="1" type="noConversion"/>
  </si>
  <si>
    <t>油駁船抵達時間</t>
    <phoneticPr fontId="1" type="noConversion"/>
  </si>
  <si>
    <t>開始加油時間</t>
    <phoneticPr fontId="1" type="noConversion"/>
  </si>
  <si>
    <t>Bunkering Commenced</t>
    <phoneticPr fontId="1" type="noConversion"/>
  </si>
  <si>
    <t>Bunkering Completed</t>
    <phoneticPr fontId="1" type="noConversion"/>
  </si>
  <si>
    <t>Barge Left</t>
    <phoneticPr fontId="1" type="noConversion"/>
  </si>
  <si>
    <t>油駁船離開時間</t>
    <phoneticPr fontId="1" type="noConversion"/>
  </si>
  <si>
    <t>EST Commence Working</t>
    <phoneticPr fontId="1" type="noConversion"/>
  </si>
  <si>
    <t>預計開工時間(裝貨或卸貨)</t>
    <phoneticPr fontId="1" type="noConversion"/>
  </si>
  <si>
    <t>Time of Shift End(Anchorage or Berth)</t>
    <phoneticPr fontId="1" type="noConversion"/>
  </si>
  <si>
    <t>準備備俥</t>
    <phoneticPr fontId="1" type="noConversion"/>
  </si>
  <si>
    <t>以備俥時為主</t>
    <phoneticPr fontId="1" type="noConversion"/>
  </si>
  <si>
    <t>現有錨地或泊位名稱、號碼</t>
    <phoneticPr fontId="1" type="noConversion"/>
  </si>
  <si>
    <t>Name or Number of Anchorage or Berth</t>
    <phoneticPr fontId="1" type="noConversion"/>
  </si>
  <si>
    <t>港口名稱</t>
    <phoneticPr fontId="1" type="noConversion"/>
  </si>
  <si>
    <t>Vessel Condition-3</t>
    <phoneticPr fontId="1" type="noConversion"/>
  </si>
  <si>
    <t>自動</t>
    <phoneticPr fontId="1" type="noConversion"/>
  </si>
  <si>
    <t>事發時的時間扣除正常航行的時間的油耗</t>
    <phoneticPr fontId="1" type="noConversion"/>
  </si>
  <si>
    <t>總延誤時間</t>
    <phoneticPr fontId="1" type="noConversion"/>
  </si>
  <si>
    <t>事發時的時間點至正常航行的時間點的總時間</t>
    <phoneticPr fontId="1" type="noConversion"/>
  </si>
  <si>
    <t>Total Delay</t>
    <phoneticPr fontId="1" type="noConversion"/>
  </si>
  <si>
    <t>照片</t>
    <phoneticPr fontId="1" type="noConversion"/>
  </si>
  <si>
    <t>Noon Report or Morning Report</t>
    <phoneticPr fontId="1" type="noConversion"/>
  </si>
  <si>
    <t>Douglas Sea Scale</t>
    <phoneticPr fontId="1" type="noConversion"/>
  </si>
  <si>
    <t>Total Distance from Last Port</t>
    <phoneticPr fontId="1" type="noConversion"/>
  </si>
  <si>
    <t>從出發港到現在位置已跑航程</t>
    <phoneticPr fontId="1" type="noConversion"/>
  </si>
  <si>
    <t>午報或早報</t>
    <phoneticPr fontId="1" type="noConversion"/>
  </si>
  <si>
    <r>
      <t xml:space="preserve">使用時機: 
</t>
    </r>
    <r>
      <rPr>
        <b/>
        <sz val="13"/>
        <color rgb="FFFF0000"/>
        <rFont val="Microsoft JhengHei UI"/>
        <family val="2"/>
        <charset val="136"/>
      </rPr>
      <t>航行船舶，應每日向公司報告正午（船鐘時間1200）船位或早上船位，依公司各別規定。</t>
    </r>
    <phoneticPr fontId="1" type="noConversion"/>
  </si>
  <si>
    <t>手動下拉式選單</t>
    <phoneticPr fontId="1" type="noConversion"/>
  </si>
  <si>
    <t>其他說明</t>
    <phoneticPr fontId="1" type="noConversion"/>
  </si>
  <si>
    <t>Swell Height</t>
    <phoneticPr fontId="1" type="noConversion"/>
  </si>
  <si>
    <t>自動帶入</t>
    <phoneticPr fontId="1" type="noConversion"/>
  </si>
  <si>
    <t>標準時間（Ex. +8）</t>
    <phoneticPr fontId="1" type="noConversion"/>
  </si>
  <si>
    <t>Report Time</t>
    <phoneticPr fontId="1" type="noConversion"/>
  </si>
  <si>
    <t>發報時間</t>
    <phoneticPr fontId="1" type="noConversion"/>
  </si>
  <si>
    <t>ETA Next Port</t>
    <phoneticPr fontId="1" type="noConversion"/>
  </si>
  <si>
    <t>預計抵達下一港時間</t>
    <phoneticPr fontId="1" type="noConversion"/>
  </si>
  <si>
    <t>前24小時油料耗量</t>
    <phoneticPr fontId="1" type="noConversion"/>
  </si>
  <si>
    <t>自動帶入AIS每日航程距離，但保留手動調整的機制。</t>
    <phoneticPr fontId="1" type="noConversion"/>
  </si>
  <si>
    <t>自動計算「預估總估航程扣除已走的總航程」的距離，但保留手動調整的機制。</t>
    <phoneticPr fontId="1" type="noConversion"/>
  </si>
  <si>
    <t>自動計算本航次空載或重載航行時的「日航程加總」。但保留手動調整的機制。</t>
    <phoneticPr fontId="1" type="noConversion"/>
  </si>
  <si>
    <t>自動帶入AIS航程紀錄，但保留手動調整的機制。</t>
    <phoneticPr fontId="1" type="noConversion"/>
  </si>
  <si>
    <t>自動勾稽海氣象平台，以發報當下的氣象狀況為基準。</t>
    <phoneticPr fontId="1" type="noConversion"/>
  </si>
  <si>
    <t>自動勾稽海氣象平台，以發報當下的氣象狀況為基準。</t>
    <phoneticPr fontId="1" type="noConversion"/>
  </si>
  <si>
    <t>自動勾稽海氣象平台，以發報當下的氣象狀況為基準。表現的方式為為16方位。</t>
    <phoneticPr fontId="1" type="noConversion"/>
  </si>
  <si>
    <t>自動勾稽海氣象平台，以發報當下的氣象狀況為基準。。</t>
    <phoneticPr fontId="1" type="noConversion"/>
  </si>
  <si>
    <t>Sea Direction</t>
    <phoneticPr fontId="1" type="noConversion"/>
  </si>
  <si>
    <t>海浪方向</t>
    <phoneticPr fontId="1" type="noConversion"/>
  </si>
  <si>
    <t>流的狀況</t>
    <phoneticPr fontId="1" type="noConversion"/>
  </si>
  <si>
    <t>包含順流、逆流等+流速。自動勾稽海氣象平台，以發報當下的氣象狀況為基準。。</t>
    <phoneticPr fontId="1" type="noConversion"/>
  </si>
  <si>
    <t>例如任何因船舶原因造成的延誤，或是其他需說明事項。</t>
    <phoneticPr fontId="1" type="noConversion"/>
  </si>
  <si>
    <t>使用時機: 
船舶抵達港口報到線/指定漂航點/錨地/結束定速航行/靠泊時發報，取早</t>
    <phoneticPr fontId="1" type="noConversion"/>
  </si>
  <si>
    <t>Douglas Sea Scale</t>
    <phoneticPr fontId="1" type="noConversion"/>
  </si>
  <si>
    <t>若是東砂北運以及兩岸砂石，雖然已免除航行報，仍需要紀錄航行的平均滑失率，已了解不同風、浪狀況時的航行狀況。</t>
    <phoneticPr fontId="1" type="noConversion"/>
  </si>
  <si>
    <t>航行時貨物狀況。Good/Normal/Bad/Serious。
原則上以開航時貨況為主，通常為Good或Normal，除非特殊貨載，公司要求航行時開艙查看。</t>
    <phoneticPr fontId="1" type="noConversion"/>
  </si>
  <si>
    <t>航行時貨物狀況。Good/Normal/Bad/Serious。
原則上以開航時貨況為主，通常為Good或Normal，除非特殊貨載，公司要求航行時開艙查看。</t>
    <phoneticPr fontId="1" type="noConversion"/>
  </si>
  <si>
    <t>可選擇 Ballast or Laden。</t>
    <phoneticPr fontId="1" type="noConversion"/>
  </si>
  <si>
    <t>本欄會根據各船登入權限資料，自動帶入船名。無法更動</t>
    <phoneticPr fontId="1" type="noConversion"/>
  </si>
  <si>
    <t>本欄會根據各船登入權限資料，自動帶入船長大名。無法更動</t>
    <phoneticPr fontId="1" type="noConversion"/>
  </si>
  <si>
    <t>勾稽AIS當下的港口名稱，但保留手動修正機制。</t>
    <phoneticPr fontId="1" type="noConversion"/>
  </si>
  <si>
    <t>邏輯參考航行報。若是東砂北運以及兩岸砂石，雖然免除航行報，仍需要這邊紀錄航行時的平均風級，以取得不同風速條件下的航速及油耗統計。原則勾稽AIS過去的平均紀錄，但保留手動調整機制。</t>
    <phoneticPr fontId="1" type="noConversion"/>
  </si>
  <si>
    <t>自動勾稽AIS的船舶所在時區，但保留手動更新的權限。若系統誤值，再請手動調整正確資訊。</t>
    <phoneticPr fontId="1" type="noConversion"/>
  </si>
  <si>
    <t>手動</t>
    <phoneticPr fontId="1" type="noConversion"/>
  </si>
  <si>
    <t>Arrival Report</t>
    <phoneticPr fontId="1" type="noConversion"/>
  </si>
  <si>
    <t>[格式2-抵港電報]  Arrival Report</t>
    <phoneticPr fontId="1" type="noConversion"/>
  </si>
  <si>
    <t>Arrive Time of Drifting (If Drifting)</t>
    <phoneticPr fontId="1" type="noConversion"/>
  </si>
  <si>
    <t>結束海上定速航行地點至泊位或錨地的距離</t>
    <phoneticPr fontId="1" type="noConversion"/>
  </si>
  <si>
    <t>漂航時間 (EX. LT )</t>
    <phoneticPr fontId="1" type="noConversion"/>
  </si>
  <si>
    <t>引水離船時間</t>
    <phoneticPr fontId="1" type="noConversion"/>
  </si>
  <si>
    <t>手動</t>
    <phoneticPr fontId="1" type="noConversion"/>
  </si>
  <si>
    <t>自動計算+手動調整</t>
    <phoneticPr fontId="1" type="noConversion"/>
  </si>
  <si>
    <t>Anchor or Drifting or Berthing 下拉式選單</t>
    <phoneticPr fontId="1" type="noConversion"/>
  </si>
  <si>
    <t>抵達港口油料資訊</t>
    <phoneticPr fontId="1" type="noConversion"/>
  </si>
  <si>
    <t>前一港口油料資訊</t>
    <phoneticPr fontId="1" type="noConversion"/>
  </si>
  <si>
    <t>起錨準備進港備俥油料資訊</t>
    <phoneticPr fontId="1" type="noConversion"/>
  </si>
  <si>
    <t>主機停俥油料資訊</t>
    <phoneticPr fontId="1" type="noConversion"/>
  </si>
  <si>
    <t>起錨準備進港備俥的重油量</t>
    <phoneticPr fontId="1" type="noConversion"/>
  </si>
  <si>
    <t>準備進港時的存油</t>
    <phoneticPr fontId="1" type="noConversion"/>
  </si>
  <si>
    <t>會勾稽前一份電報（離港報）的離港存油，但保留手動調整機制。</t>
    <phoneticPr fontId="1" type="noConversion"/>
  </si>
  <si>
    <t>第39項EOSP存油減第51項RSE存油的數值。原則自動計算，但保留手動調整機制。</t>
    <phoneticPr fontId="1" type="noConversion"/>
  </si>
  <si>
    <t>第40項EOSP存油減第52項RSE存油的數值。原則自動計算，但保留手動調整機制。</t>
    <phoneticPr fontId="1" type="noConversion"/>
  </si>
  <si>
    <t>第16項結束海上定速航行時間減第20項準備備俥時間。原則自動計算，但保留手動調整機制。</t>
    <phoneticPr fontId="1" type="noConversion"/>
  </si>
  <si>
    <t>等泊時的油耗資訊</t>
    <phoneticPr fontId="1" type="noConversion"/>
  </si>
  <si>
    <t>欄42-欄36= 航行總重油量</t>
    <phoneticPr fontId="1" type="noConversion"/>
  </si>
  <si>
    <t>欄43-欄37=航行總輕油量</t>
    <phoneticPr fontId="1" type="noConversion"/>
  </si>
  <si>
    <t>自動計算，（算式：總海浬數欄68/總時間欄65）</t>
    <phoneticPr fontId="1" type="noConversion"/>
  </si>
  <si>
    <t>航行期間</t>
    <phoneticPr fontId="1" type="noConversion"/>
  </si>
  <si>
    <t>抵港報</t>
    <phoneticPr fontId="1" type="noConversion"/>
  </si>
  <si>
    <r>
      <t xml:space="preserve">使用時機: </t>
    </r>
    <r>
      <rPr>
        <b/>
        <sz val="13"/>
        <color rgb="FFFF0000"/>
        <rFont val="Microsoft JhengHei UI"/>
        <family val="2"/>
        <charset val="136"/>
      </rPr>
      <t xml:space="preserve">
每日裝卸貨或是等泊時發報，船鐘8點發</t>
    </r>
    <phoneticPr fontId="1" type="noConversion"/>
  </si>
  <si>
    <t>1. 兩岸砂石以及東砂北運不需要發航行午報。
2. 不在上述內的航次則必須發航行午報。
3. 砂石以及爐石都是發午報，早報則依據各別航次另約定之。</t>
    <phoneticPr fontId="1" type="noConversion"/>
  </si>
  <si>
    <t>抵港電報 Arrival Report
一、定義：抵達港區範圍，包含「港口報到線/指定漂航點/錨地/引水站/結束定速航行/靠泊」發報。
二、使用時間：
1. 兩岸砂石以及東砂北運：若抵達港區範圍，需等待超過四小時才上引水，則需要依實際狀況發報，包括Drifiting, Anchor or Berth Report。
2. 但若四小時內上引水，則 Drifiting, Anchor or Berth Report併發為一份「Berth Report」。
3. 爐石則需按實際情況照實發報，不可併發。
三、各欄填寫說明：如下表「定義」欄位。</t>
    <phoneticPr fontId="1" type="noConversion"/>
  </si>
  <si>
    <t>船位電報 Noon Report or Morning Report
一、定義：航行時發的電報，分為早報以及午報。
二、使用時機：
1. 兩岸砂石以及東砂北運不需要發航行午報。
2. 不在上述內的航次則必須發航行午報。
3. 砂石以及爐石都是發午報，早報則依據各別航次另約定之。
三、各欄填寫說明：如下表「定義」欄位。</t>
    <phoneticPr fontId="1" type="noConversion"/>
  </si>
  <si>
    <t>[格式1-船位電報]  Noon Report or Morning Report</t>
    <phoneticPr fontId="1" type="noConversion"/>
  </si>
  <si>
    <t>裝卸貨時間在24小時內完成的船舶，可用離港報的時間、油耗代替每日作業報。本報也包含裝卸報、等泊報、避風等待。若前一天的早上8點發完作業報後，到隔一天的早上8點之前，作業已結束並開航，則完工時間併到離港報填寫。</t>
    <phoneticPr fontId="1" type="noConversion"/>
  </si>
  <si>
    <t>船舶裝載狀況</t>
    <phoneticPr fontId="1" type="noConversion"/>
  </si>
  <si>
    <t>可選擇 Ballast or Laden。</t>
    <phoneticPr fontId="1" type="noConversion"/>
  </si>
  <si>
    <t>船舶作業狀況</t>
    <phoneticPr fontId="1" type="noConversion"/>
  </si>
  <si>
    <t>時間</t>
    <phoneticPr fontId="1" type="noConversion"/>
  </si>
  <si>
    <t>Report Time</t>
    <phoneticPr fontId="1" type="noConversion"/>
  </si>
  <si>
    <t>發報時間</t>
    <phoneticPr fontId="1" type="noConversion"/>
  </si>
  <si>
    <t>自動內鍵0800lt（早上）。但保留手動更新的權限。若系統誤值，再請手動調整正確資訊。「Clear」為清除。「Now」為當下時間。</t>
    <phoneticPr fontId="1" type="noConversion"/>
  </si>
  <si>
    <t>手動+下拉式選單</t>
    <phoneticPr fontId="1" type="noConversion"/>
  </si>
  <si>
    <t>作業時間</t>
    <phoneticPr fontId="1" type="noConversion"/>
  </si>
  <si>
    <t>貨物資訊</t>
    <phoneticPr fontId="1" type="noConversion"/>
  </si>
  <si>
    <t>共八個格子放貨物以及碼頭照片。空格處手寫貨物名稱以及艙號（例：煤-1），「新增」欄位可增加下一行的資料以及新資照片。</t>
    <phoneticPr fontId="1" type="noConversion"/>
  </si>
  <si>
    <t>單位內鍵 MT、M3、PCS。MT及M3是擇一，若是件雜貨，請同時填寫PCS的數字。</t>
    <phoneticPr fontId="1" type="noConversion"/>
  </si>
  <si>
    <t>無</t>
    <phoneticPr fontId="1" type="noConversion"/>
  </si>
  <si>
    <t>每日油料存量</t>
    <phoneticPr fontId="1" type="noConversion"/>
  </si>
  <si>
    <t>無</t>
    <phoneticPr fontId="1" type="noConversion"/>
  </si>
  <si>
    <t>無</t>
    <phoneticPr fontId="1" type="noConversion"/>
  </si>
  <si>
    <t>無</t>
    <phoneticPr fontId="1" type="noConversion"/>
  </si>
  <si>
    <t>無</t>
    <phoneticPr fontId="1" type="noConversion"/>
  </si>
  <si>
    <t>同上</t>
    <phoneticPr fontId="1" type="noConversion"/>
  </si>
  <si>
    <t>同上</t>
    <phoneticPr fontId="1" type="noConversion"/>
  </si>
  <si>
    <t>同上</t>
    <phoneticPr fontId="1" type="noConversion"/>
  </si>
  <si>
    <t>無</t>
    <phoneticPr fontId="1" type="noConversion"/>
  </si>
  <si>
    <t>無</t>
    <phoneticPr fontId="1" type="noConversion"/>
  </si>
  <si>
    <t>離港電報 Departure Report
一、定義：離港報是指作業完成、離開港區的電報。
二、使用時機：
裝卸貨時間在24小時內完成的船舶，可用離港報的時間、油耗代替每日作業報。離港報是指作業完成、離開港區的電報。
三、各欄填寫說明：如下表「定義」欄位。</t>
    <phoneticPr fontId="1" type="noConversion"/>
  </si>
  <si>
    <r>
      <t xml:space="preserve">使用時機: </t>
    </r>
    <r>
      <rPr>
        <b/>
        <sz val="13"/>
        <color rgb="FFFF0000"/>
        <rFont val="Microsoft JhengHei UI"/>
        <family val="2"/>
        <charset val="136"/>
      </rPr>
      <t xml:space="preserve">
船舶完工、離港後應及時向公司發離港電報。</t>
    </r>
    <phoneticPr fontId="1" type="noConversion"/>
  </si>
  <si>
    <t>Departure Report</t>
    <phoneticPr fontId="1" type="noConversion"/>
  </si>
  <si>
    <t>裝卸貨時間在24小時內完成的船舶，可用離港報的時間、油耗代替每日作業報。離港報是指作業完成、離開港區的電報。</t>
    <phoneticPr fontId="1" type="noConversion"/>
  </si>
  <si>
    <t>船舶狀況</t>
    <phoneticPr fontId="1" type="noConversion"/>
  </si>
  <si>
    <t>可選擇 Ballast or Laden</t>
    <phoneticPr fontId="1" type="noConversion"/>
  </si>
  <si>
    <t>參考10及11項後自動計算。</t>
    <phoneticPr fontId="1" type="noConversion"/>
  </si>
  <si>
    <t>Total Loading or Discharging Quantity</t>
    <phoneticPr fontId="1" type="noConversion"/>
  </si>
  <si>
    <t>總裝貨/總卸貨數量</t>
    <phoneticPr fontId="1" type="noConversion"/>
  </si>
  <si>
    <t>單位內鍵 MT、M3、PCS。MT及M3是擇一，若是件雜貨，請同時填寫PCS的數字。</t>
    <phoneticPr fontId="1" type="noConversion"/>
  </si>
  <si>
    <t>Cargo Name</t>
    <phoneticPr fontId="1" type="noConversion"/>
  </si>
  <si>
    <t>貨物名稱</t>
    <phoneticPr fontId="1" type="noConversion"/>
  </si>
  <si>
    <t>手動</t>
    <phoneticPr fontId="1" type="noConversion"/>
  </si>
  <si>
    <t>Time of C.O.S.P.</t>
    <phoneticPr fontId="1" type="noConversion"/>
  </si>
  <si>
    <t>Time of Pilot D.O.P</t>
    <phoneticPr fontId="1" type="noConversion"/>
  </si>
  <si>
    <t>重油 LSFO 加油時間(如有)</t>
    <phoneticPr fontId="1" type="noConversion"/>
  </si>
  <si>
    <t>輕油 MGO 加油時間(如有)</t>
    <phoneticPr fontId="1" type="noConversion"/>
  </si>
  <si>
    <t>開工時油料資訊</t>
    <phoneticPr fontId="1" type="noConversion"/>
  </si>
  <si>
    <t>完工時油料資訊</t>
    <phoneticPr fontId="1" type="noConversion"/>
  </si>
  <si>
    <t>作業油料資訊</t>
    <phoneticPr fontId="1" type="noConversion"/>
  </si>
  <si>
    <t>欄37開工時的重油存量-欄43開完工時的重油存油。保留手動調整機制</t>
    <phoneticPr fontId="1" type="noConversion"/>
  </si>
  <si>
    <t>欄38完工時的輕油存量-欄44開工時的輕油存油。保留手動調整機制</t>
    <phoneticPr fontId="1" type="noConversion"/>
  </si>
  <si>
    <t>作業總重油耗除以總作業時間（hour）欄12再除以24得出一天的平均油耗</t>
    <phoneticPr fontId="1" type="noConversion"/>
  </si>
  <si>
    <t>同上</t>
    <phoneticPr fontId="1" type="noConversion"/>
  </si>
  <si>
    <t>定速航行油料資訊</t>
    <phoneticPr fontId="1" type="noConversion"/>
  </si>
  <si>
    <t>本港加油資訊(如有)</t>
    <phoneticPr fontId="1" type="noConversion"/>
  </si>
  <si>
    <t>FO Supply in Port</t>
    <phoneticPr fontId="1" type="noConversion"/>
  </si>
  <si>
    <t>DO Supply in Port</t>
    <phoneticPr fontId="1" type="noConversion"/>
  </si>
  <si>
    <t>ROB M/E SYS LO of COSP</t>
    <phoneticPr fontId="1" type="noConversion"/>
  </si>
  <si>
    <t>ROB A/E SYS LO of COSP</t>
    <phoneticPr fontId="1" type="noConversion"/>
  </si>
  <si>
    <t>M/E SYS LO Supply in Port</t>
    <phoneticPr fontId="1" type="noConversion"/>
  </si>
  <si>
    <t>A/E SYS LO Supply in Port</t>
    <phoneticPr fontId="1" type="noConversion"/>
  </si>
  <si>
    <t>FW Supply in Port</t>
    <phoneticPr fontId="1" type="noConversion"/>
  </si>
  <si>
    <t>重油補給數量</t>
    <phoneticPr fontId="1" type="noConversion"/>
  </si>
  <si>
    <t>輕油補給數量</t>
    <phoneticPr fontId="1" type="noConversion"/>
  </si>
  <si>
    <t>主機汽缸油補給數量</t>
    <phoneticPr fontId="1" type="noConversion"/>
  </si>
  <si>
    <t>主機系統油補給數量</t>
    <phoneticPr fontId="1" type="noConversion"/>
  </si>
  <si>
    <t>輔機系統油補給數量</t>
    <phoneticPr fontId="1" type="noConversion"/>
  </si>
  <si>
    <t>加水數量</t>
    <phoneticPr fontId="1" type="noConversion"/>
  </si>
  <si>
    <t>無</t>
    <phoneticPr fontId="1" type="noConversion"/>
  </si>
  <si>
    <t>無</t>
    <phoneticPr fontId="1" type="noConversion"/>
  </si>
  <si>
    <t>移泊報</t>
    <phoneticPr fontId="1" type="noConversion"/>
  </si>
  <si>
    <t>使用時機: 
港內移泊、港外移錨地使用</t>
    <phoneticPr fontId="1" type="noConversion"/>
  </si>
  <si>
    <t>1. 港內移泊用，從一泊位移到另一泊位。或是 2. 錨地移動用，或是例：長江口上海移水站移到長江內錨地等長時間移泊，從一個臨時性的錨地移到另一個臨時性的錨地。</t>
    <phoneticPr fontId="1" type="noConversion"/>
  </si>
  <si>
    <t>移泊電報 Shifting Report
一、定義：港內移泊、港外移錨地使用
二、使用時機：
1. 港內移泊用，從一泊位移到另一泊位。或是 
2. 錨地移動用，或是例：長江口上海移水站移到長江內錨地等長時間移泊，從一個臨時性的錨地移到另一個臨時性的錨地。
三、各欄填寫說明：如下表「定義」欄位。</t>
    <phoneticPr fontId="1" type="noConversion"/>
  </si>
  <si>
    <t>可選擇 Ballast or Laden</t>
    <phoneticPr fontId="1" type="noConversion"/>
  </si>
  <si>
    <t>船舶狀況</t>
    <phoneticPr fontId="1" type="noConversion"/>
  </si>
  <si>
    <t>預計離開碼頭時間</t>
    <phoneticPr fontId="1" type="noConversion"/>
  </si>
  <si>
    <t>引水登船時間</t>
    <phoneticPr fontId="1" type="noConversion"/>
  </si>
  <si>
    <t>Time of Tug Attended</t>
    <phoneticPr fontId="1" type="noConversion"/>
  </si>
  <si>
    <t>拖輪協助時間</t>
    <phoneticPr fontId="1" type="noConversion"/>
  </si>
  <si>
    <t>Time of Tug Cast Off</t>
    <phoneticPr fontId="1" type="noConversion"/>
  </si>
  <si>
    <t>拖輪纜繩解掉時間</t>
    <phoneticPr fontId="1" type="noConversion"/>
  </si>
  <si>
    <t>Time of Tug Left</t>
    <phoneticPr fontId="1" type="noConversion"/>
  </si>
  <si>
    <t>拖輪離開時間</t>
    <phoneticPr fontId="1" type="noConversion"/>
  </si>
  <si>
    <t>Time of D.O.P</t>
    <phoneticPr fontId="1" type="noConversion"/>
  </si>
  <si>
    <t>停止使用引擎使用推進</t>
    <phoneticPr fontId="1" type="noConversion"/>
  </si>
  <si>
    <t>移船時油料存量</t>
    <phoneticPr fontId="1" type="noConversion"/>
  </si>
  <si>
    <t>移船完畢油料存量</t>
    <phoneticPr fontId="1" type="noConversion"/>
  </si>
  <si>
    <t>同上</t>
    <phoneticPr fontId="1" type="noConversion"/>
  </si>
  <si>
    <t>使用時機: 
改向、減速、故障停俥、續航報。</t>
    <phoneticPr fontId="1" type="noConversion"/>
  </si>
  <si>
    <t>Douglas Sea Scale</t>
    <phoneticPr fontId="1" type="noConversion"/>
  </si>
  <si>
    <t>改向、減速、故障停俥、其他重大事項、申請避風、續航報使用。</t>
    <phoneticPr fontId="1" type="noConversion"/>
  </si>
  <si>
    <t>特殊情況報 Irregular Report
一、定義：改向、減速、故障停俥、其他重大事項、申請避風、續航報使用。
二、使用時機：同上。
三、各欄填寫說明：如下表「定義」欄位。</t>
    <phoneticPr fontId="1" type="noConversion"/>
  </si>
  <si>
    <t>勾稽AIS當下的港口名稱，但保留手動修正機制。</t>
    <phoneticPr fontId="1" type="noConversion"/>
  </si>
  <si>
    <t>引水離船時間</t>
    <phoneticPr fontId="1" type="noConversion"/>
  </si>
  <si>
    <t>引水登船時間</t>
    <phoneticPr fontId="1" type="noConversion"/>
  </si>
  <si>
    <t>機器備便時間</t>
    <phoneticPr fontId="1" type="noConversion"/>
  </si>
  <si>
    <t>引水離船時間</t>
    <phoneticPr fontId="1" type="noConversion"/>
  </si>
  <si>
    <t>港口名稱</t>
    <phoneticPr fontId="1" type="noConversion"/>
  </si>
  <si>
    <t>船舶狀況</t>
    <phoneticPr fontId="1" type="noConversion"/>
  </si>
  <si>
    <t>船舶狀況</t>
    <phoneticPr fontId="1" type="noConversion"/>
  </si>
  <si>
    <t>Irregular Time</t>
    <phoneticPr fontId="1" type="noConversion"/>
  </si>
  <si>
    <t>Sea Direction</t>
    <phoneticPr fontId="1" type="noConversion"/>
  </si>
  <si>
    <t>事發時或重新啟航的經度</t>
    <phoneticPr fontId="1" type="noConversion"/>
  </si>
  <si>
    <t>Incident/Resumption Long</t>
    <phoneticPr fontId="1" type="noConversion"/>
  </si>
  <si>
    <t>Incident/Resumption Lat</t>
    <phoneticPr fontId="1" type="noConversion"/>
  </si>
  <si>
    <t>時區及
下一港</t>
    <phoneticPr fontId="1" type="noConversion"/>
  </si>
  <si>
    <t>時區及抵港時間紀錄</t>
    <phoneticPr fontId="1" type="noConversion"/>
  </si>
  <si>
    <t>時區及發報時間</t>
    <phoneticPr fontId="1" type="noConversion"/>
  </si>
  <si>
    <t>時區及裝卸時間</t>
    <phoneticPr fontId="1" type="noConversion"/>
  </si>
  <si>
    <t>貨物及完工數量</t>
    <phoneticPr fontId="1" type="noConversion"/>
  </si>
  <si>
    <t>開航時間紀錄</t>
    <phoneticPr fontId="1" type="noConversion"/>
  </si>
  <si>
    <t>時區及預計時間</t>
    <phoneticPr fontId="1" type="noConversion"/>
  </si>
  <si>
    <t>移泊時間紀錄</t>
    <phoneticPr fontId="1" type="noConversion"/>
  </si>
  <si>
    <t>必填，手動</t>
    <phoneticPr fontId="1" type="noConversion"/>
  </si>
  <si>
    <t>必填，手動</t>
    <phoneticPr fontId="1" type="noConversion"/>
  </si>
  <si>
    <t>16項(EOSP)與20項(R.S.E)的時間扣除。原則自動扣除，但保留手動調整機制。</t>
    <phoneticPr fontId="1" type="noConversion"/>
  </si>
  <si>
    <t>必填，手動+下拉式表格</t>
    <phoneticPr fontId="1" type="noConversion"/>
  </si>
  <si>
    <t>必填，手動+下拉式表格</t>
    <phoneticPr fontId="1" type="noConversion"/>
  </si>
  <si>
    <t>必填，手動</t>
    <phoneticPr fontId="1" type="noConversion"/>
  </si>
  <si>
    <t>必填，手動</t>
    <phoneticPr fontId="1" type="noConversion"/>
  </si>
  <si>
    <t>必填，手動</t>
    <phoneticPr fontId="1" type="noConversion"/>
  </si>
  <si>
    <t>必填，手動</t>
    <phoneticPr fontId="1" type="noConversion"/>
  </si>
  <si>
    <t>必填，手動下拉式選單</t>
    <phoneticPr fontId="1" type="noConversion"/>
  </si>
  <si>
    <t>必填，手動下拉式選單</t>
    <phoneticPr fontId="1" type="noConversion"/>
  </si>
  <si>
    <t>必填，自動帶入+手動調整</t>
    <phoneticPr fontId="1" type="noConversion"/>
  </si>
  <si>
    <t>必填，自動帶入+手動調整</t>
    <phoneticPr fontId="1" type="noConversion"/>
  </si>
  <si>
    <t>必填，自動帶入+手動調整</t>
    <phoneticPr fontId="1" type="noConversion"/>
  </si>
  <si>
    <t>必填，自動帶入+手動調整</t>
    <phoneticPr fontId="1" type="noConversion"/>
  </si>
  <si>
    <t>必填，自動帶入+手動調整</t>
    <phoneticPr fontId="1" type="noConversion"/>
  </si>
  <si>
    <t>必填，自動計算+手動調整</t>
    <phoneticPr fontId="1" type="noConversion"/>
  </si>
  <si>
    <t>必填，自動計算+手動調整</t>
    <phoneticPr fontId="1" type="noConversion"/>
  </si>
  <si>
    <t>必填，自動帶入+手動調整</t>
    <phoneticPr fontId="1" type="noConversion"/>
  </si>
  <si>
    <t>必填，自動帶入+手動下拉式選單調整</t>
    <phoneticPr fontId="1" type="noConversion"/>
  </si>
  <si>
    <t>必填，自動帶入+手動調整</t>
    <phoneticPr fontId="1" type="noConversion"/>
  </si>
  <si>
    <t>必填，自動帶入+手動下拉式選單調整</t>
    <phoneticPr fontId="1" type="noConversion"/>
  </si>
  <si>
    <t>必填，自動帶入+手動下拉式選單調整</t>
    <phoneticPr fontId="1" type="noConversion"/>
  </si>
  <si>
    <t>必填，手動下拉式選單</t>
    <phoneticPr fontId="1" type="noConversion"/>
  </si>
  <si>
    <t>手動</t>
    <phoneticPr fontId="1" type="noConversion"/>
  </si>
  <si>
    <t>必填，自動+下拉式選單</t>
    <phoneticPr fontId="1" type="noConversion"/>
  </si>
  <si>
    <t>必填，自動+下拉式選單</t>
    <phoneticPr fontId="1" type="noConversion"/>
  </si>
  <si>
    <t>必填，手動+下拉式選單</t>
    <phoneticPr fontId="1" type="noConversion"/>
  </si>
  <si>
    <t>必填，自動+下拉式選單</t>
    <phoneticPr fontId="1" type="noConversion"/>
  </si>
  <si>
    <t>必填，自動帶入+下接式選單</t>
    <phoneticPr fontId="1" type="noConversion"/>
  </si>
  <si>
    <t>結束海上定速航行地點至泊位或錨地的距離計算</t>
    <phoneticPr fontId="1" type="noConversion"/>
  </si>
  <si>
    <t>必填，自動計算+手動調整</t>
    <phoneticPr fontId="1" type="noConversion"/>
  </si>
  <si>
    <t>必填，自動計算+手動調整</t>
    <phoneticPr fontId="1" type="noConversion"/>
  </si>
  <si>
    <t>必填，手動，下拉式選單</t>
    <phoneticPr fontId="1" type="noConversion"/>
  </si>
  <si>
    <t>必填，手動，下拉式選單</t>
    <phoneticPr fontId="1" type="noConversion"/>
  </si>
  <si>
    <t>必填，手動</t>
    <phoneticPr fontId="1" type="noConversion"/>
  </si>
  <si>
    <t>必填，自動計算+手動調整</t>
    <phoneticPr fontId="1" type="noConversion"/>
  </si>
  <si>
    <t>必填，自動</t>
    <phoneticPr fontId="1" type="noConversion"/>
  </si>
  <si>
    <t>自動</t>
    <phoneticPr fontId="1" type="noConversion"/>
  </si>
  <si>
    <t>手動勾選</t>
    <phoneticPr fontId="1" type="noConversion"/>
  </si>
  <si>
    <t>必填，自動帶入+下接式選單</t>
    <phoneticPr fontId="1" type="noConversion"/>
  </si>
  <si>
    <t>手動+下拉式選單</t>
    <phoneticPr fontId="1" type="noConversion"/>
  </si>
  <si>
    <t>船吊或岸吊</t>
    <phoneticPr fontId="1" type="noConversion"/>
  </si>
  <si>
    <t>前24小時油料耗量量</t>
    <phoneticPr fontId="1" type="noConversion"/>
  </si>
  <si>
    <t>必填，自動</t>
    <phoneticPr fontId="1" type="noConversion"/>
  </si>
  <si>
    <t>必填，自動</t>
    <phoneticPr fontId="1" type="noConversion"/>
  </si>
  <si>
    <t>必填，手動</t>
    <phoneticPr fontId="1" type="noConversion"/>
  </si>
  <si>
    <t>必填，手動</t>
    <phoneticPr fontId="1" type="noConversion"/>
  </si>
  <si>
    <t>必填，自動計算</t>
    <phoneticPr fontId="1" type="noConversion"/>
  </si>
  <si>
    <t>必填，自動計算</t>
    <phoneticPr fontId="1" type="noConversion"/>
  </si>
  <si>
    <t>必填，手動</t>
    <phoneticPr fontId="1" type="noConversion"/>
  </si>
  <si>
    <t>必填，自動+手動調整</t>
    <phoneticPr fontId="1" type="noConversion"/>
  </si>
  <si>
    <t>必填，手動</t>
    <phoneticPr fontId="1" type="noConversion"/>
  </si>
  <si>
    <t>手動</t>
    <phoneticPr fontId="1" type="noConversion"/>
  </si>
  <si>
    <t>手動</t>
    <phoneticPr fontId="1" type="noConversion"/>
  </si>
  <si>
    <t>手動</t>
    <phoneticPr fontId="1" type="noConversion"/>
  </si>
  <si>
    <t>手動</t>
    <phoneticPr fontId="1" type="noConversion"/>
  </si>
  <si>
    <t>必填，手動下拉式選單</t>
    <phoneticPr fontId="1" type="noConversion"/>
  </si>
  <si>
    <t>下拉式選單</t>
    <phoneticPr fontId="1" type="noConversion"/>
  </si>
  <si>
    <t>必填，自動</t>
    <phoneticPr fontId="1" type="noConversion"/>
  </si>
  <si>
    <t>必填，手動</t>
    <phoneticPr fontId="1" type="noConversion"/>
  </si>
  <si>
    <t>必填，手動下拉式選單</t>
    <phoneticPr fontId="1" type="noConversion"/>
  </si>
  <si>
    <t>必填，手動下拉式選單</t>
    <phoneticPr fontId="1" type="noConversion"/>
  </si>
  <si>
    <t>位置及天氣</t>
    <phoneticPr fontId="1" type="noConversion"/>
  </si>
  <si>
    <t>手動</t>
    <phoneticPr fontId="1" type="noConversion"/>
  </si>
  <si>
    <t>手動</t>
    <phoneticPr fontId="1" type="noConversion"/>
  </si>
  <si>
    <t>手動</t>
    <phoneticPr fontId="1" type="noConversion"/>
  </si>
  <si>
    <t>自動計算+手動調整</t>
    <phoneticPr fontId="1" type="noConversion"/>
  </si>
  <si>
    <t>自動計算+手動調整</t>
    <phoneticPr fontId="1" type="noConversion"/>
  </si>
  <si>
    <t>自動計算+手動調整</t>
    <phoneticPr fontId="1" type="noConversion"/>
  </si>
  <si>
    <t>手動+下拉式選單</t>
    <phoneticPr fontId="1" type="noConversion"/>
  </si>
  <si>
    <t>裝卸貨資訊</t>
    <phoneticPr fontId="1" type="noConversion"/>
  </si>
  <si>
    <t>必填，自動帶入+下接式選單</t>
    <phoneticPr fontId="1" type="noConversion"/>
  </si>
  <si>
    <t>手動下拉式選單</t>
    <phoneticPr fontId="1" type="noConversion"/>
  </si>
  <si>
    <t>必填，自動帶入+手動調整</t>
    <phoneticPr fontId="1" type="noConversion"/>
  </si>
  <si>
    <t>必填，自動帶入+手動下拉式選單調整</t>
    <phoneticPr fontId="1" type="noConversion"/>
  </si>
  <si>
    <t>Anchor Aweigh or Completed Drifting of Last Point</t>
    <phoneticPr fontId="1" type="noConversion"/>
  </si>
  <si>
    <t>起錨或結束漂航時間</t>
    <phoneticPr fontId="1" type="noConversion"/>
  </si>
  <si>
    <t>等泊時總時間</t>
    <phoneticPr fontId="1" type="noConversion"/>
  </si>
  <si>
    <t>結束飄航</t>
    <phoneticPr fontId="1" type="noConversion"/>
  </si>
  <si>
    <t>手動</t>
    <phoneticPr fontId="1" type="noConversion"/>
  </si>
  <si>
    <t>手動</t>
    <phoneticPr fontId="1" type="noConversion"/>
  </si>
  <si>
    <t>手動</t>
    <phoneticPr fontId="1" type="noConversion"/>
  </si>
  <si>
    <t>手動</t>
    <phoneticPr fontId="1" type="noConversion"/>
  </si>
  <si>
    <t>手動</t>
    <phoneticPr fontId="1" type="noConversion"/>
  </si>
  <si>
    <t>本欄會自動勾稽船報填寫當下的經緯度、航向、航速、主機轉速。也保留手動輸入機制，請船長協助留意位置是否有誤。</t>
    <phoneticPr fontId="1" type="noConversion"/>
  </si>
  <si>
    <t xml:space="preserve">自動勾稽AIS下一港資料、時區、發報時間(內鍵1200時）以及預計抵達下一港時間，但保留手動更新的權限。若系統誤值，再請手動調整正確資訊。「Clear」為清除，「Now」為當下時間。 </t>
    <phoneticPr fontId="1" type="noConversion"/>
  </si>
  <si>
    <t>必填，自動計算+手動調整</t>
    <phoneticPr fontId="1" type="noConversion"/>
  </si>
  <si>
    <t>今日的「每日重油存量」減去「前一天日電報重油量」，自動相減，本表就可以自動帶入。但第一次填寫，無法自動計算，因沒有前一天的資料，因此第一次填寫時，這邊需要手KEY。往後雖然可自動計算，但也保留手動調整機制，也請船長協助留意日耗量。</t>
    <phoneticPr fontId="1" type="noConversion"/>
  </si>
  <si>
    <t>自動計算「今日的『重油量』減去『前一天船位報重油量』」，自動相減，本表就可以自動帶入。但第一次填寫時，因沒有前一天的存量，因此第一次寫，需手動鍵入耗量。往後雖然可自動計算，但也保留手動調整機制，也請船長協助留意日耗量。</t>
    <phoneticPr fontId="1" type="noConversion"/>
  </si>
  <si>
    <t>M/E SYS LO Consumption Last 24 Hours</t>
    <phoneticPr fontId="1" type="noConversion"/>
  </si>
  <si>
    <t>A/E SYS LO Consumption Last 24 Hours</t>
    <phoneticPr fontId="1" type="noConversion"/>
  </si>
  <si>
    <r>
      <t xml:space="preserve">Time of </t>
    </r>
    <r>
      <rPr>
        <b/>
        <u/>
        <sz val="13"/>
        <color rgb="FFFF0000"/>
        <rFont val="Microsoft JhengHei UI"/>
        <family val="2"/>
        <charset val="136"/>
      </rPr>
      <t>F.W.E</t>
    </r>
    <phoneticPr fontId="1" type="noConversion"/>
  </si>
  <si>
    <r>
      <t xml:space="preserve">ROB M/E CYL </t>
    </r>
    <r>
      <rPr>
        <b/>
        <u/>
        <sz val="13"/>
        <color rgb="FFFF0000"/>
        <rFont val="Microsoft JhengHei UI"/>
        <family val="2"/>
        <charset val="136"/>
      </rPr>
      <t>OIL</t>
    </r>
    <r>
      <rPr>
        <sz val="13"/>
        <rFont val="Microsoft JhengHei UI"/>
        <family val="2"/>
        <charset val="136"/>
      </rPr>
      <t xml:space="preserve"> of EOSP</t>
    </r>
    <phoneticPr fontId="1" type="noConversion"/>
  </si>
  <si>
    <r>
      <t xml:space="preserve">ROB M/E CYL </t>
    </r>
    <r>
      <rPr>
        <b/>
        <u/>
        <sz val="13"/>
        <color rgb="FFFF0000"/>
        <rFont val="Microsoft JhengHei UI"/>
        <family val="2"/>
        <charset val="136"/>
      </rPr>
      <t>OIL</t>
    </r>
    <r>
      <rPr>
        <sz val="13"/>
        <rFont val="Microsoft JhengHei UI"/>
        <family val="2"/>
        <charset val="136"/>
      </rPr>
      <t xml:space="preserve"> of COSP Last Port</t>
    </r>
    <phoneticPr fontId="1" type="noConversion"/>
  </si>
  <si>
    <r>
      <rPr>
        <b/>
        <u/>
        <sz val="13"/>
        <color rgb="FFFF0000"/>
        <rFont val="Microsoft JhengHei UI"/>
        <family val="2"/>
        <charset val="136"/>
      </rPr>
      <t>FW</t>
    </r>
    <r>
      <rPr>
        <sz val="13"/>
        <rFont val="Microsoft JhengHei UI"/>
        <family val="2"/>
        <charset val="136"/>
      </rPr>
      <t xml:space="preserve"> of EOSP</t>
    </r>
    <phoneticPr fontId="1" type="noConversion"/>
  </si>
  <si>
    <r>
      <rPr>
        <b/>
        <u/>
        <sz val="13"/>
        <color rgb="FFFF0000"/>
        <rFont val="Microsoft JhengHei UI"/>
        <family val="2"/>
        <charset val="136"/>
      </rPr>
      <t>FW</t>
    </r>
    <r>
      <rPr>
        <sz val="13"/>
        <rFont val="Microsoft JhengHei UI"/>
        <family val="2"/>
        <charset val="136"/>
      </rPr>
      <t xml:space="preserve"> of COSP Last Port</t>
    </r>
    <phoneticPr fontId="1" type="noConversion"/>
  </si>
  <si>
    <r>
      <t xml:space="preserve">ROB M/E CYL </t>
    </r>
    <r>
      <rPr>
        <b/>
        <u/>
        <sz val="13"/>
        <color rgb="FFFF0000"/>
        <rFont val="Microsoft JhengHei UI"/>
        <family val="2"/>
        <charset val="136"/>
      </rPr>
      <t>OIL</t>
    </r>
    <r>
      <rPr>
        <sz val="13"/>
        <rFont val="Microsoft JhengHei UI"/>
        <family val="2"/>
        <charset val="136"/>
      </rPr>
      <t xml:space="preserve"> of R.S.E</t>
    </r>
    <phoneticPr fontId="1" type="noConversion"/>
  </si>
  <si>
    <r>
      <t xml:space="preserve">ROB M/E CYL </t>
    </r>
    <r>
      <rPr>
        <b/>
        <u/>
        <sz val="13"/>
        <color rgb="FFFF0000"/>
        <rFont val="Microsoft JhengHei UI"/>
        <family val="2"/>
        <charset val="136"/>
      </rPr>
      <t>OIL</t>
    </r>
    <r>
      <rPr>
        <sz val="13"/>
        <rFont val="Microsoft JhengHei UI"/>
        <family val="2"/>
        <charset val="136"/>
      </rPr>
      <t xml:space="preserve"> of F.W.E</t>
    </r>
    <phoneticPr fontId="1" type="noConversion"/>
  </si>
  <si>
    <r>
      <t xml:space="preserve">ROB </t>
    </r>
    <r>
      <rPr>
        <b/>
        <u/>
        <sz val="13"/>
        <color rgb="FFFF0000"/>
        <rFont val="Microsoft JhengHei UI"/>
        <family val="2"/>
        <charset val="136"/>
      </rPr>
      <t>M/E CYL OIL</t>
    </r>
    <phoneticPr fontId="1" type="noConversion"/>
  </si>
  <si>
    <r>
      <t>ROB</t>
    </r>
    <r>
      <rPr>
        <b/>
        <u/>
        <sz val="13"/>
        <color rgb="FFFF0000"/>
        <rFont val="Microsoft JhengHei UI"/>
        <family val="2"/>
        <charset val="136"/>
      </rPr>
      <t xml:space="preserve"> M/E SYS LO</t>
    </r>
    <phoneticPr fontId="1" type="noConversion"/>
  </si>
  <si>
    <r>
      <t xml:space="preserve">ROB </t>
    </r>
    <r>
      <rPr>
        <b/>
        <u/>
        <sz val="13"/>
        <color rgb="FFFF0000"/>
        <rFont val="Microsoft JhengHei UI"/>
        <family val="2"/>
        <charset val="136"/>
      </rPr>
      <t>A/E SYS LO</t>
    </r>
    <phoneticPr fontId="1" type="noConversion"/>
  </si>
  <si>
    <t>必填，自動連結+手動調整</t>
    <phoneticPr fontId="1" type="noConversion"/>
  </si>
  <si>
    <t>必填，自動連結+手動調整</t>
    <phoneticPr fontId="1" type="noConversion"/>
  </si>
  <si>
    <t>在爐石長航次，這必須可以勾稽日電報的開工油量)C29-C34)。但也請船長留意數字是否有誤，適時調整。</t>
    <phoneticPr fontId="1" type="noConversion"/>
  </si>
  <si>
    <r>
      <t xml:space="preserve">ROB </t>
    </r>
    <r>
      <rPr>
        <b/>
        <u/>
        <sz val="13"/>
        <color rgb="FFFF0000"/>
        <rFont val="Microsoft JhengHei UI"/>
        <family val="2"/>
        <charset val="136"/>
      </rPr>
      <t>M/E CYL OIL</t>
    </r>
    <r>
      <rPr>
        <sz val="13"/>
        <rFont val="Microsoft JhengHei UI"/>
        <family val="2"/>
        <charset val="136"/>
      </rPr>
      <t xml:space="preserve"> of Commenced Working</t>
    </r>
    <phoneticPr fontId="1" type="noConversion"/>
  </si>
  <si>
    <r>
      <rPr>
        <b/>
        <u/>
        <sz val="13"/>
        <color rgb="FFFF0000"/>
        <rFont val="Microsoft JhengHei UI"/>
        <family val="2"/>
        <charset val="136"/>
      </rPr>
      <t>A/E SYS LO</t>
    </r>
    <r>
      <rPr>
        <sz val="13"/>
        <color rgb="FFFF0000"/>
        <rFont val="Microsoft JhengHei UI"/>
        <family val="2"/>
        <charset val="136"/>
      </rPr>
      <t xml:space="preserve"> Consumption Last 24 Hours</t>
    </r>
    <phoneticPr fontId="1" type="noConversion"/>
  </si>
  <si>
    <r>
      <rPr>
        <b/>
        <u/>
        <sz val="13"/>
        <color rgb="FFFF0000"/>
        <rFont val="Microsoft JhengHei UI"/>
        <family val="2"/>
        <charset val="136"/>
      </rPr>
      <t>M/E SYS LO</t>
    </r>
    <r>
      <rPr>
        <sz val="13"/>
        <color rgb="FFFF0000"/>
        <rFont val="Microsoft JhengHei UI"/>
        <family val="2"/>
        <charset val="136"/>
      </rPr>
      <t xml:space="preserve"> Consumption Last 24 Hours</t>
    </r>
    <phoneticPr fontId="1" type="noConversion"/>
  </si>
  <si>
    <r>
      <rPr>
        <b/>
        <u/>
        <sz val="13"/>
        <color rgb="FFFF0000"/>
        <rFont val="Microsoft JhengHei UI"/>
        <family val="2"/>
        <charset val="136"/>
      </rPr>
      <t>M/E CYL OIL</t>
    </r>
    <r>
      <rPr>
        <sz val="13"/>
        <color rgb="FFFF0000"/>
        <rFont val="Microsoft JhengHei UI"/>
        <family val="2"/>
        <charset val="136"/>
      </rPr>
      <t xml:space="preserve"> Consumption Last 24 Hours</t>
    </r>
    <phoneticPr fontId="1" type="noConversion"/>
  </si>
  <si>
    <r>
      <t xml:space="preserve">ROB </t>
    </r>
    <r>
      <rPr>
        <b/>
        <u/>
        <sz val="13"/>
        <color rgb="FFFF0000"/>
        <rFont val="Microsoft JhengHei UI"/>
        <family val="2"/>
        <charset val="136"/>
      </rPr>
      <t>M/E CYL OIL</t>
    </r>
    <r>
      <rPr>
        <sz val="13"/>
        <rFont val="Microsoft JhengHei UI"/>
        <family val="2"/>
        <charset val="136"/>
      </rPr>
      <t xml:space="preserve"> of Completed Working</t>
    </r>
    <phoneticPr fontId="1" type="noConversion"/>
  </si>
  <si>
    <r>
      <t xml:space="preserve">ROB </t>
    </r>
    <r>
      <rPr>
        <b/>
        <u/>
        <sz val="13"/>
        <color rgb="FFFF0000"/>
        <rFont val="Microsoft JhengHei UI"/>
        <family val="2"/>
        <charset val="136"/>
      </rPr>
      <t>M/E SYS LO</t>
    </r>
    <r>
      <rPr>
        <sz val="13"/>
        <rFont val="Microsoft JhengHei UI"/>
        <family val="2"/>
        <charset val="136"/>
      </rPr>
      <t xml:space="preserve"> of Commenced Working</t>
    </r>
    <phoneticPr fontId="1" type="noConversion"/>
  </si>
  <si>
    <r>
      <t>ROB</t>
    </r>
    <r>
      <rPr>
        <b/>
        <u/>
        <sz val="13"/>
        <color rgb="FFFF0000"/>
        <rFont val="Microsoft JhengHei UI"/>
        <family val="2"/>
        <charset val="136"/>
      </rPr>
      <t xml:space="preserve"> M/E SYS LO</t>
    </r>
    <r>
      <rPr>
        <sz val="13"/>
        <rFont val="Microsoft JhengHei UI"/>
        <family val="2"/>
        <charset val="136"/>
      </rPr>
      <t xml:space="preserve"> of Completed Working</t>
    </r>
    <phoneticPr fontId="1" type="noConversion"/>
  </si>
  <si>
    <r>
      <t xml:space="preserve">ROB </t>
    </r>
    <r>
      <rPr>
        <b/>
        <u/>
        <sz val="13"/>
        <color rgb="FFFF0000"/>
        <rFont val="Microsoft JhengHei UI"/>
        <family val="2"/>
        <charset val="136"/>
      </rPr>
      <t>A/E SYS LO</t>
    </r>
    <r>
      <rPr>
        <sz val="13"/>
        <rFont val="Microsoft JhengHei UI"/>
        <family val="2"/>
        <charset val="136"/>
      </rPr>
      <t xml:space="preserve"> of Commenced Working</t>
    </r>
    <phoneticPr fontId="1" type="noConversion"/>
  </si>
  <si>
    <r>
      <t xml:space="preserve">ROB </t>
    </r>
    <r>
      <rPr>
        <b/>
        <u/>
        <sz val="13"/>
        <color rgb="FFFF0000"/>
        <rFont val="Microsoft JhengHei UI"/>
        <family val="2"/>
        <charset val="136"/>
      </rPr>
      <t>A/E SYS LO</t>
    </r>
    <r>
      <rPr>
        <sz val="13"/>
        <rFont val="Microsoft JhengHei UI"/>
        <family val="2"/>
        <charset val="136"/>
      </rPr>
      <t xml:space="preserve"> of Completed Working</t>
    </r>
    <phoneticPr fontId="1" type="noConversion"/>
  </si>
  <si>
    <r>
      <t xml:space="preserve">ROB M/E CYL </t>
    </r>
    <r>
      <rPr>
        <b/>
        <u/>
        <sz val="13"/>
        <color rgb="FFFF0000"/>
        <rFont val="Microsoft JhengHei UI"/>
        <family val="2"/>
        <charset val="136"/>
      </rPr>
      <t>OIL</t>
    </r>
    <r>
      <rPr>
        <sz val="13"/>
        <rFont val="Microsoft JhengHei UI"/>
        <family val="2"/>
        <charset val="136"/>
      </rPr>
      <t xml:space="preserve"> of COSP</t>
    </r>
    <phoneticPr fontId="1" type="noConversion"/>
  </si>
  <si>
    <r>
      <t xml:space="preserve">M/E CYL </t>
    </r>
    <r>
      <rPr>
        <b/>
        <u/>
        <sz val="13"/>
        <color rgb="FFFF0000"/>
        <rFont val="Microsoft JhengHei UI"/>
        <family val="2"/>
        <charset val="136"/>
      </rPr>
      <t>OIL</t>
    </r>
    <r>
      <rPr>
        <sz val="13"/>
        <rFont val="Microsoft JhengHei UI"/>
        <family val="2"/>
        <charset val="136"/>
      </rPr>
      <t xml:space="preserve"> Supply in Port</t>
    </r>
    <phoneticPr fontId="1" type="noConversion"/>
  </si>
  <si>
    <r>
      <t xml:space="preserve">ROB M/E CYL </t>
    </r>
    <r>
      <rPr>
        <b/>
        <u/>
        <sz val="13"/>
        <color rgb="FFFF0000"/>
        <rFont val="Microsoft JhengHei UI"/>
        <family val="2"/>
        <charset val="136"/>
      </rPr>
      <t>OIL</t>
    </r>
    <r>
      <rPr>
        <sz val="13"/>
        <rFont val="Microsoft JhengHei UI"/>
        <family val="2"/>
        <charset val="136"/>
      </rPr>
      <t xml:space="preserve">  of R.S.E</t>
    </r>
    <phoneticPr fontId="1" type="noConversion"/>
  </si>
  <si>
    <t xml:space="preserve">ROB FW </t>
    <phoneticPr fontId="1" type="noConversion"/>
  </si>
  <si>
    <t>ROB DO of Shift End or F.W.E</t>
    <phoneticPr fontId="1" type="noConversion"/>
  </si>
  <si>
    <r>
      <t xml:space="preserve">ROB M/E CYL </t>
    </r>
    <r>
      <rPr>
        <b/>
        <u/>
        <sz val="13"/>
        <color rgb="FFFF0000"/>
        <rFont val="Microsoft JhengHei UI"/>
        <family val="2"/>
        <charset val="136"/>
      </rPr>
      <t>OIL</t>
    </r>
    <r>
      <rPr>
        <sz val="13"/>
        <rFont val="Microsoft JhengHei UI"/>
        <family val="2"/>
        <charset val="136"/>
      </rPr>
      <t xml:space="preserve">  of Shift End or F.W.E</t>
    </r>
    <phoneticPr fontId="1" type="noConversion"/>
  </si>
  <si>
    <t>ROB FW of R.S.E</t>
    <phoneticPr fontId="1" type="noConversion"/>
  </si>
  <si>
    <t>ROB M/E SYS LO of R.S.E</t>
    <phoneticPr fontId="1" type="noConversion"/>
  </si>
  <si>
    <t>ROB M/E SYS LO of Shift End or F.W.E</t>
    <phoneticPr fontId="1" type="noConversion"/>
  </si>
  <si>
    <t>ROB A/E SYS LO of R.S.E</t>
    <phoneticPr fontId="1" type="noConversion"/>
  </si>
  <si>
    <t>ROB A/E SYS LO of Shift End or F.W.E</t>
    <phoneticPr fontId="1" type="noConversion"/>
  </si>
  <si>
    <t>ROB FW of Shift End or F.W.E</t>
    <phoneticPr fontId="1" type="noConversion"/>
  </si>
  <si>
    <r>
      <rPr>
        <b/>
        <u/>
        <sz val="13"/>
        <color rgb="FFFF0000"/>
        <rFont val="Microsoft JhengHei UI"/>
        <family val="2"/>
        <charset val="136"/>
      </rPr>
      <t>ROB FW</t>
    </r>
    <r>
      <rPr>
        <sz val="13"/>
        <rFont val="Microsoft JhengHei UI"/>
        <family val="2"/>
        <charset val="136"/>
      </rPr>
      <t xml:space="preserve"> at Event</t>
    </r>
    <phoneticPr fontId="1" type="noConversion"/>
  </si>
  <si>
    <r>
      <t xml:space="preserve">ROB </t>
    </r>
    <r>
      <rPr>
        <b/>
        <u/>
        <sz val="13"/>
        <color rgb="FFFF0000"/>
        <rFont val="Microsoft JhengHei UI"/>
        <family val="2"/>
        <charset val="136"/>
      </rPr>
      <t>M/E CYL OIL</t>
    </r>
    <r>
      <rPr>
        <sz val="13"/>
        <rFont val="Microsoft JhengHei UI"/>
        <family val="2"/>
        <charset val="136"/>
      </rPr>
      <t xml:space="preserve"> at Event</t>
    </r>
    <phoneticPr fontId="1" type="noConversion"/>
  </si>
  <si>
    <r>
      <t xml:space="preserve">ROB </t>
    </r>
    <r>
      <rPr>
        <b/>
        <u/>
        <sz val="13"/>
        <color rgb="FFFF0000"/>
        <rFont val="Microsoft JhengHei UI"/>
        <family val="2"/>
        <charset val="136"/>
      </rPr>
      <t>M/E SYS LO</t>
    </r>
    <r>
      <rPr>
        <sz val="13"/>
        <rFont val="Microsoft JhengHei UI"/>
        <family val="2"/>
        <charset val="136"/>
      </rPr>
      <t xml:space="preserve"> at Event</t>
    </r>
    <phoneticPr fontId="1" type="noConversion"/>
  </si>
  <si>
    <r>
      <t xml:space="preserve">ROB </t>
    </r>
    <r>
      <rPr>
        <b/>
        <u/>
        <sz val="13"/>
        <color rgb="FFFF0000"/>
        <rFont val="Microsoft JhengHei UI"/>
        <family val="2"/>
        <charset val="136"/>
      </rPr>
      <t>A/E SYS LO</t>
    </r>
    <r>
      <rPr>
        <sz val="13"/>
        <rFont val="Microsoft JhengHei UI"/>
        <family val="2"/>
        <charset val="136"/>
      </rPr>
      <t xml:space="preserve"> at Event</t>
    </r>
    <phoneticPr fontId="1" type="noConversion"/>
  </si>
  <si>
    <t>DO Consumption During Event</t>
    <phoneticPr fontId="1" type="noConversion"/>
  </si>
  <si>
    <r>
      <t xml:space="preserve">ROB </t>
    </r>
    <r>
      <rPr>
        <b/>
        <u/>
        <sz val="13"/>
        <color rgb="FFFF0000"/>
        <rFont val="Microsoft JhengHei UI"/>
        <family val="2"/>
        <charset val="136"/>
      </rPr>
      <t>M/E CYL OIL</t>
    </r>
    <r>
      <rPr>
        <sz val="13"/>
        <rFont val="Microsoft JhengHei UI"/>
        <family val="2"/>
        <charset val="136"/>
      </rPr>
      <t xml:space="preserve"> During Event</t>
    </r>
    <phoneticPr fontId="1" type="noConversion"/>
  </si>
  <si>
    <r>
      <t xml:space="preserve">ROB </t>
    </r>
    <r>
      <rPr>
        <b/>
        <u/>
        <sz val="13"/>
        <color rgb="FFFF0000"/>
        <rFont val="Microsoft JhengHei UI"/>
        <family val="2"/>
        <charset val="136"/>
      </rPr>
      <t>M/E SYS LO</t>
    </r>
    <r>
      <rPr>
        <sz val="13"/>
        <rFont val="Microsoft JhengHei UI"/>
        <family val="2"/>
        <charset val="136"/>
      </rPr>
      <t xml:space="preserve"> During Event</t>
    </r>
    <phoneticPr fontId="1" type="noConversion"/>
  </si>
  <si>
    <r>
      <t xml:space="preserve">ROB </t>
    </r>
    <r>
      <rPr>
        <b/>
        <u/>
        <sz val="13"/>
        <color rgb="FFFF0000"/>
        <rFont val="Microsoft JhengHei UI"/>
        <family val="2"/>
        <charset val="136"/>
      </rPr>
      <t>A/E SYS LO</t>
    </r>
    <r>
      <rPr>
        <sz val="13"/>
        <rFont val="Microsoft JhengHei UI"/>
        <family val="2"/>
        <charset val="136"/>
      </rPr>
      <t xml:space="preserve"> During Event</t>
    </r>
    <phoneticPr fontId="1" type="noConversion"/>
  </si>
  <si>
    <r>
      <rPr>
        <b/>
        <u/>
        <sz val="13"/>
        <color rgb="FFFF0000"/>
        <rFont val="Microsoft JhengHei UI"/>
        <family val="2"/>
        <charset val="136"/>
      </rPr>
      <t>ROB FW</t>
    </r>
    <r>
      <rPr>
        <sz val="13"/>
        <rFont val="Microsoft JhengHei UI"/>
        <family val="2"/>
        <charset val="136"/>
      </rPr>
      <t xml:space="preserve"> During Event</t>
    </r>
    <phoneticPr fontId="1" type="noConversion"/>
  </si>
  <si>
    <t>等泊時重油油耗總計</t>
  </si>
  <si>
    <t>等泊時重油油耗總計</t>
    <phoneticPr fontId="1" type="noConversion"/>
  </si>
  <si>
    <t>作業時輕油油耗總計</t>
    <phoneticPr fontId="1" type="noConversion"/>
  </si>
  <si>
    <t>作業時重油油耗總計</t>
    <phoneticPr fontId="1" type="noConversion"/>
  </si>
  <si>
    <t>重油耗量總計</t>
    <phoneticPr fontId="1" type="noConversion"/>
  </si>
  <si>
    <t>輕油耗量總計</t>
    <phoneticPr fontId="1" type="noConversion"/>
  </si>
  <si>
    <t>耗量總計</t>
    <phoneticPr fontId="1" type="noConversion"/>
  </si>
  <si>
    <t>主機汽缸油耗量總計</t>
    <phoneticPr fontId="1" type="noConversion"/>
  </si>
  <si>
    <t>淡水耗量總計</t>
    <phoneticPr fontId="1" type="noConversion"/>
  </si>
  <si>
    <t>輔機系統油存量總計</t>
    <phoneticPr fontId="1" type="noConversion"/>
  </si>
  <si>
    <t>主機系統油耗量總計</t>
    <phoneticPr fontId="1" type="noConversion"/>
  </si>
  <si>
    <t>4/14 改，要改24小時計算</t>
    <phoneticPr fontId="1" type="noConversion"/>
  </si>
  <si>
    <t>自動計算，（算式：定速航行期間總重油量66/總時間欄65*24h）</t>
    <phoneticPr fontId="1" type="noConversion"/>
  </si>
  <si>
    <t>自動計算，（算式：定速航行期間總輕油量67總時間欄65*24h）</t>
    <phoneticPr fontId="1" type="noConversion"/>
  </si>
  <si>
    <t>4/14 -要叫工程師改為 COSP</t>
    <phoneticPr fontId="1" type="noConversion"/>
  </si>
  <si>
    <t>同上</t>
    <phoneticPr fontId="1" type="noConversion"/>
  </si>
  <si>
    <t>同上，且要改為 ROB FW of COSP</t>
    <phoneticPr fontId="1" type="noConversion"/>
  </si>
  <si>
    <t>1. 兩岸砂石以及東砂北運：若抵達港區範圍，需等待超過四小時才上引水，則需要依實際狀況發報，包括Drifiting, Anchor or Berth Report。
2. 但若四小時內上引水，則 Drifiting, Anchor or Berth Report併發為一份「Berth Report」。
3. 爐石則需按實際情況照實發報，不可併發。</t>
    <phoneticPr fontId="1" type="noConversion"/>
  </si>
  <si>
    <t>每日電報 Daily Report
一、定義：包含每日裝卸貨、等泊、避風期間的每日發報，船鐘8點發佈。
二、使用時機：
裝卸貨時間在24小時內完成的船舶，可用離港報的時間、油耗代替每日作業報。本報也包含裝卸報、等泊報、避風等待。若前一天的早上8點發完作業報後，到隔一天的早上8點之前，作業已結束並開航，則完工時間併到離港報填寫。
三、各欄填寫說明：如下表「定義」欄位。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</si>
</sst>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3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3"/>
      <color theme="1"/>
      <name val="Microsoft JhengHei UI"/>
      <family val="2"/>
      <charset val="136"/>
    </font>
    <font>
      <sz val="13"/>
      <color theme="1"/>
      <name val="Microsoft JhengHei UI"/>
      <family val="2"/>
      <charset val="136"/>
    </font>
    <font>
      <b/>
      <sz val="12"/>
      <color theme="1"/>
      <name val="Microsoft JhengHei UI"/>
      <family val="2"/>
      <charset val="136"/>
    </font>
    <font>
      <sz val="12"/>
      <color theme="1"/>
      <name val="Microsoft JhengHei UI"/>
      <family val="2"/>
      <charset val="136"/>
    </font>
    <font>
      <sz val="12"/>
      <color rgb="FFFF0000"/>
      <name val="新細明體"/>
      <family val="2"/>
      <charset val="136"/>
      <scheme val="minor"/>
    </font>
    <font>
      <b/>
      <sz val="13"/>
      <color rgb="FFFF0000"/>
      <name val="Microsoft JhengHei UI"/>
      <family val="2"/>
      <charset val="136"/>
    </font>
    <font>
      <sz val="12"/>
      <color rgb="FFFF0000"/>
      <name val="新細明體"/>
      <family val="1"/>
      <charset val="136"/>
      <scheme val="minor"/>
    </font>
    <font>
      <sz val="13"/>
      <name val="Microsoft JhengHei UI"/>
      <family val="2"/>
      <charset val="136"/>
    </font>
    <font>
      <sz val="12"/>
      <name val="新細明體"/>
      <family val="2"/>
      <charset val="136"/>
      <scheme val="minor"/>
    </font>
    <font>
      <sz val="13"/>
      <color rgb="FFFF0000"/>
      <name val="Microsoft JhengHei UI"/>
      <family val="2"/>
      <charset val="136"/>
    </font>
    <font>
      <b/>
      <sz val="12"/>
      <color rgb="FFFF0000"/>
      <name val="新細明體"/>
      <family val="2"/>
      <charset val="136"/>
      <scheme val="minor"/>
    </font>
    <font>
      <b/>
      <sz val="14"/>
      <color rgb="FFFF0000"/>
      <name val="Microsoft JhengHei UI"/>
      <family val="2"/>
      <charset val="136"/>
    </font>
    <font>
      <b/>
      <sz val="14"/>
      <color rgb="FFFF0000"/>
      <name val="新細明體"/>
      <family val="2"/>
      <charset val="136"/>
      <scheme val="minor"/>
    </font>
    <font>
      <b/>
      <sz val="16"/>
      <color theme="1"/>
      <name val="新細明體"/>
      <family val="2"/>
      <charset val="136"/>
      <scheme val="minor"/>
    </font>
    <font>
      <b/>
      <sz val="16"/>
      <color theme="1"/>
      <name val="Microsoft JhengHei UI"/>
      <family val="2"/>
      <charset val="136"/>
    </font>
    <font>
      <sz val="12"/>
      <name val="Microsoft JhengHei UI"/>
      <family val="2"/>
      <charset val="136"/>
    </font>
    <font>
      <b/>
      <i/>
      <u/>
      <sz val="12"/>
      <color rgb="FF002060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name val="Microsoft JhengHei UI"/>
      <family val="2"/>
      <charset val="136"/>
    </font>
    <font>
      <b/>
      <sz val="16"/>
      <name val="新細明體"/>
      <family val="2"/>
      <charset val="136"/>
      <scheme val="minor"/>
    </font>
    <font>
      <sz val="16"/>
      <name val="Microsoft JhengHei UI"/>
      <family val="2"/>
      <charset val="136"/>
    </font>
    <font>
      <sz val="16"/>
      <name val="新細明體"/>
      <family val="2"/>
      <charset val="136"/>
      <scheme val="minor"/>
    </font>
    <font>
      <sz val="13"/>
      <color theme="1"/>
      <name val="新細明體"/>
      <family val="2"/>
      <charset val="136"/>
      <scheme val="minor"/>
    </font>
    <font>
      <strike/>
      <sz val="13"/>
      <name val="Microsoft JhengHei UI"/>
      <family val="2"/>
      <charset val="136"/>
    </font>
    <font>
      <b/>
      <sz val="18"/>
      <color theme="1"/>
      <name val="Microsoft JhengHei UI"/>
      <family val="2"/>
      <charset val="136"/>
    </font>
    <font>
      <sz val="18"/>
      <name val="Microsoft JhengHei UI"/>
      <family val="2"/>
      <charset val="136"/>
    </font>
    <font>
      <i/>
      <sz val="13"/>
      <name val="Microsoft JhengHei UI"/>
      <family val="2"/>
      <charset val="136"/>
    </font>
    <font>
      <b/>
      <sz val="16"/>
      <color rgb="FFFF0000"/>
      <name val="Microsoft JhengHei UI"/>
      <family val="2"/>
      <charset val="136"/>
    </font>
    <font>
      <b/>
      <u/>
      <sz val="13"/>
      <color rgb="FFFF0000"/>
      <name val="Microsoft JhengHei U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66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3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3" fillId="0" borderId="0" xfId="0" quotePrefix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0" fillId="0" borderId="0" xfId="0" applyFill="1" applyBorder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>
      <alignment vertical="center"/>
    </xf>
    <xf numFmtId="0" fontId="4" fillId="0" borderId="19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15" fillId="0" borderId="0" xfId="0" applyFont="1" applyBorder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2" fillId="0" borderId="0" xfId="0" applyFont="1" applyFill="1" applyBorder="1">
      <alignment vertical="center"/>
    </xf>
    <xf numFmtId="0" fontId="15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center"/>
    </xf>
    <xf numFmtId="0" fontId="18" fillId="0" borderId="0" xfId="0" applyFont="1" applyBorder="1">
      <alignment vertical="center"/>
    </xf>
    <xf numFmtId="0" fontId="0" fillId="3" borderId="0" xfId="0" applyFill="1" applyBorder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0" fillId="2" borderId="0" xfId="0" applyFill="1" applyBorder="1">
      <alignment vertical="center"/>
    </xf>
    <xf numFmtId="0" fontId="2" fillId="0" borderId="2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vertical="center" wrapText="1"/>
    </xf>
    <xf numFmtId="0" fontId="26" fillId="0" borderId="0" xfId="0" applyFont="1" applyFill="1" applyBorder="1">
      <alignment vertical="center"/>
    </xf>
    <xf numFmtId="0" fontId="27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13" fillId="0" borderId="0" xfId="0" applyFont="1" applyFill="1" applyBorder="1">
      <alignment vertical="center"/>
    </xf>
    <xf numFmtId="0" fontId="9" fillId="0" borderId="1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vertical="center"/>
    </xf>
    <xf numFmtId="0" fontId="9" fillId="0" borderId="9" xfId="0" applyFont="1" applyFill="1" applyBorder="1" applyAlignment="1">
      <alignment vertical="center" wrapText="1"/>
    </xf>
    <xf numFmtId="0" fontId="9" fillId="0" borderId="11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 wrapText="1"/>
    </xf>
    <xf numFmtId="0" fontId="9" fillId="0" borderId="14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>
      <alignment vertical="center"/>
    </xf>
    <xf numFmtId="0" fontId="9" fillId="0" borderId="7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horizontal="left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vertical="center"/>
    </xf>
    <xf numFmtId="0" fontId="9" fillId="0" borderId="7" xfId="0" applyFont="1" applyFill="1" applyBorder="1" applyAlignment="1">
      <alignment vertical="center"/>
    </xf>
    <xf numFmtId="0" fontId="9" fillId="0" borderId="34" xfId="0" applyFont="1" applyFill="1" applyBorder="1" applyAlignment="1">
      <alignment horizontal="center" vertical="center" wrapText="1"/>
    </xf>
    <xf numFmtId="0" fontId="9" fillId="0" borderId="34" xfId="0" applyFont="1" applyFill="1" applyBorder="1" applyAlignment="1">
      <alignment horizontal="left" vertical="center" wrapText="1"/>
    </xf>
    <xf numFmtId="0" fontId="9" fillId="0" borderId="38" xfId="0" applyFont="1" applyFill="1" applyBorder="1" applyAlignment="1">
      <alignment vertical="center"/>
    </xf>
    <xf numFmtId="0" fontId="4" fillId="0" borderId="34" xfId="0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2" fillId="4" borderId="37" xfId="0" applyFont="1" applyFill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9" fillId="0" borderId="0" xfId="0" applyFont="1" applyFill="1" applyBorder="1">
      <alignment vertical="center"/>
    </xf>
    <xf numFmtId="0" fontId="9" fillId="0" borderId="34" xfId="0" applyFont="1" applyFill="1" applyBorder="1" applyAlignment="1">
      <alignment vertical="center"/>
    </xf>
    <xf numFmtId="0" fontId="9" fillId="0" borderId="38" xfId="0" applyFont="1" applyFill="1" applyBorder="1" applyAlignment="1">
      <alignment vertical="center" wrapText="1"/>
    </xf>
    <xf numFmtId="0" fontId="10" fillId="0" borderId="0" xfId="0" applyFont="1" applyFill="1" applyBorder="1">
      <alignment vertical="center"/>
    </xf>
    <xf numFmtId="0" fontId="10" fillId="0" borderId="0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9" fillId="0" borderId="39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22" fillId="0" borderId="19" xfId="0" applyFont="1" applyBorder="1" applyAlignment="1">
      <alignment vertical="center"/>
    </xf>
    <xf numFmtId="0" fontId="9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9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9" fillId="5" borderId="11" xfId="0" applyFont="1" applyFill="1" applyBorder="1" applyAlignment="1">
      <alignment vertical="center"/>
    </xf>
    <xf numFmtId="0" fontId="9" fillId="5" borderId="4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4" xfId="0" applyFont="1" applyFill="1" applyBorder="1" applyAlignment="1">
      <alignment horizontal="left" vertical="center" wrapText="1"/>
    </xf>
    <xf numFmtId="0" fontId="9" fillId="5" borderId="34" xfId="0" applyFont="1" applyFill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left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34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vertical="center"/>
    </xf>
    <xf numFmtId="0" fontId="9" fillId="5" borderId="42" xfId="0" applyFont="1" applyFill="1" applyBorder="1" applyAlignment="1">
      <alignment horizontal="center" vertical="center" wrapText="1"/>
    </xf>
    <xf numFmtId="176" fontId="5" fillId="0" borderId="0" xfId="0" applyNumberFormat="1" applyFont="1" applyFill="1" applyBorder="1">
      <alignment vertical="center"/>
    </xf>
    <xf numFmtId="176" fontId="0" fillId="0" borderId="0" xfId="0" applyNumberFormat="1" applyBorder="1">
      <alignment vertical="center"/>
    </xf>
    <xf numFmtId="176" fontId="0" fillId="0" borderId="0" xfId="0" applyNumberFormat="1" applyFill="1" applyBorder="1">
      <alignment vertical="center"/>
    </xf>
    <xf numFmtId="176" fontId="10" fillId="0" borderId="0" xfId="0" applyNumberFormat="1" applyFont="1" applyFill="1" applyBorder="1" applyAlignment="1">
      <alignment horizontal="left" vertical="center"/>
    </xf>
    <xf numFmtId="0" fontId="32" fillId="0" borderId="34" xfId="0" applyFont="1" applyFill="1" applyBorder="1" applyAlignment="1">
      <alignment horizontal="left" vertical="center" wrapText="1"/>
    </xf>
    <xf numFmtId="0" fontId="32" fillId="0" borderId="5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0" fillId="7" borderId="0" xfId="0" applyFill="1" applyBorder="1">
      <alignment vertical="center"/>
    </xf>
    <xf numFmtId="0" fontId="28" fillId="0" borderId="3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33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9" fillId="0" borderId="38" xfId="0" applyFont="1" applyFill="1" applyBorder="1" applyAlignment="1">
      <alignment horizontal="center" vertical="center" wrapText="1"/>
    </xf>
    <xf numFmtId="0" fontId="9" fillId="0" borderId="44" xfId="0" applyFont="1" applyFill="1" applyBorder="1" applyAlignment="1">
      <alignment horizontal="center" vertical="center" wrapText="1"/>
    </xf>
    <xf numFmtId="0" fontId="9" fillId="0" borderId="45" xfId="0" applyFont="1" applyFill="1" applyBorder="1" applyAlignment="1">
      <alignment horizontal="center" vertical="center" wrapText="1"/>
    </xf>
    <xf numFmtId="0" fontId="9" fillId="0" borderId="43" xfId="0" applyFont="1" applyFill="1" applyBorder="1" applyAlignment="1">
      <alignment horizontal="left" vertical="center" wrapText="1"/>
    </xf>
    <xf numFmtId="0" fontId="9" fillId="0" borderId="44" xfId="0" applyFont="1" applyFill="1" applyBorder="1" applyAlignment="1">
      <alignment horizontal="left" vertical="center" wrapText="1"/>
    </xf>
    <xf numFmtId="0" fontId="9" fillId="0" borderId="45" xfId="0" applyFont="1" applyFill="1" applyBorder="1" applyAlignment="1">
      <alignment horizontal="left" vertical="center" wrapText="1"/>
    </xf>
    <xf numFmtId="0" fontId="9" fillId="0" borderId="43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24" fillId="0" borderId="8" xfId="0" applyFont="1" applyFill="1" applyBorder="1" applyAlignment="1">
      <alignment horizontal="center" vertical="center" wrapText="1"/>
    </xf>
    <xf numFmtId="0" fontId="24" fillId="0" borderId="31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0" fontId="24" fillId="0" borderId="29" xfId="0" applyFont="1" applyFill="1" applyBorder="1" applyAlignment="1">
      <alignment horizontal="center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29" fillId="0" borderId="35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0" fontId="24" fillId="0" borderId="30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36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 vertical="center" wrapText="1"/>
    </xf>
    <xf numFmtId="0" fontId="22" fillId="0" borderId="30" xfId="0" applyFont="1" applyFill="1" applyBorder="1" applyAlignment="1">
      <alignment horizontal="center" vertical="center" wrapText="1"/>
    </xf>
    <xf numFmtId="0" fontId="22" fillId="0" borderId="29" xfId="0" applyFont="1" applyFill="1" applyBorder="1" applyAlignment="1">
      <alignment horizontal="center" vertical="center" wrapText="1"/>
    </xf>
    <xf numFmtId="0" fontId="22" fillId="0" borderId="20" xfId="0" applyFont="1" applyFill="1" applyBorder="1" applyAlignment="1">
      <alignment horizontal="center" vertical="center" wrapText="1"/>
    </xf>
    <xf numFmtId="0" fontId="22" fillId="0" borderId="28" xfId="0" applyFont="1" applyFill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39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8" xfId="0" applyFont="1" applyFill="1" applyBorder="1" applyAlignment="1">
      <alignment horizontal="center" vertical="center" wrapText="1"/>
    </xf>
    <xf numFmtId="0" fontId="16" fillId="0" borderId="31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6" fillId="0" borderId="31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16" fillId="0" borderId="33" xfId="0" applyFont="1" applyFill="1" applyBorder="1" applyAlignment="1">
      <alignment horizontal="center" vertical="center" wrapText="1"/>
    </xf>
    <xf numFmtId="0" fontId="9" fillId="5" borderId="43" xfId="0" applyFont="1" applyFill="1" applyBorder="1" applyAlignment="1">
      <alignment horizontal="center" vertical="center" wrapText="1"/>
    </xf>
    <xf numFmtId="0" fontId="9" fillId="5" borderId="44" xfId="0" applyFont="1" applyFill="1" applyBorder="1" applyAlignment="1">
      <alignment horizontal="center" vertical="center" wrapText="1"/>
    </xf>
    <xf numFmtId="0" fontId="9" fillId="5" borderId="45" xfId="0" applyFont="1" applyFill="1" applyBorder="1" applyAlignment="1">
      <alignment horizontal="center" vertical="center" wrapText="1"/>
    </xf>
    <xf numFmtId="0" fontId="16" fillId="0" borderId="25" xfId="0" applyFont="1" applyFill="1" applyBorder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39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34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34" xfId="0" applyFont="1" applyFill="1" applyBorder="1" applyAlignment="1">
      <alignment horizontal="center" vertical="center" wrapText="1"/>
    </xf>
    <xf numFmtId="0" fontId="24" fillId="0" borderId="40" xfId="0" applyFont="1" applyFill="1" applyBorder="1" applyAlignment="1">
      <alignment horizontal="center" vertical="center" wrapText="1"/>
    </xf>
    <xf numFmtId="0" fontId="24" fillId="0" borderId="32" xfId="0" applyFont="1" applyFill="1" applyBorder="1" applyAlignment="1">
      <alignment horizontal="center" vertical="center" wrapText="1"/>
    </xf>
    <xf numFmtId="0" fontId="24" fillId="0" borderId="41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33" xfId="0" applyFont="1" applyFill="1" applyBorder="1" applyAlignment="1">
      <alignment horizontal="center" vertical="center" wrapText="1"/>
    </xf>
    <xf numFmtId="0" fontId="24" fillId="0" borderId="25" xfId="0" applyFont="1" applyFill="1" applyBorder="1" applyAlignment="1">
      <alignment horizontal="center" vertical="center"/>
    </xf>
    <xf numFmtId="0" fontId="24" fillId="0" borderId="26" xfId="0" applyFont="1" applyFill="1" applyBorder="1" applyAlignment="1">
      <alignment horizontal="center" vertical="center"/>
    </xf>
    <xf numFmtId="0" fontId="24" fillId="0" borderId="27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0" fontId="31" fillId="5" borderId="6" xfId="0" applyFont="1" applyFill="1" applyBorder="1" applyAlignment="1">
      <alignment horizontal="center" vertical="center" wrapText="1"/>
    </xf>
    <xf numFmtId="0" fontId="31" fillId="5" borderId="8" xfId="0" applyFont="1" applyFill="1" applyBorder="1" applyAlignment="1">
      <alignment horizontal="center" vertical="center" wrapText="1"/>
    </xf>
    <xf numFmtId="0" fontId="31" fillId="5" borderId="10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G64"/>
  <sheetViews>
    <sheetView topLeftCell="A28" zoomScale="70" zoomScaleNormal="70" workbookViewId="0">
      <selection activeCell="A27" sqref="A27:A32"/>
    </sheetView>
  </sheetViews>
  <sheetFormatPr defaultRowHeight="15.5" x14ac:dyDescent="0.4"/>
  <cols>
    <col min="1" max="1" width="14" style="19" customWidth="1"/>
    <col min="2" max="2" width="7.453125" style="19" customWidth="1"/>
    <col min="3" max="3" width="41.81640625" style="19" customWidth="1"/>
    <col min="4" max="4" width="45.6328125" style="19" customWidth="1"/>
    <col min="5" max="5" width="26.81640625" style="18" customWidth="1"/>
    <col min="6" max="6" width="61.54296875" style="19" customWidth="1"/>
    <col min="7" max="16384" width="8.7265625" style="19"/>
  </cols>
  <sheetData>
    <row r="1" spans="1:6" ht="178" customHeight="1" thickBot="1" x14ac:dyDescent="0.45">
      <c r="A1" s="169" t="s">
        <v>552</v>
      </c>
      <c r="B1" s="170"/>
      <c r="C1" s="170"/>
      <c r="D1" s="170"/>
      <c r="E1" s="170"/>
      <c r="F1" s="170"/>
    </row>
    <row r="2" spans="1:6" ht="79" customHeight="1" x14ac:dyDescent="0.4">
      <c r="A2" s="181" t="s">
        <v>145</v>
      </c>
      <c r="B2" s="177" t="s">
        <v>49</v>
      </c>
      <c r="C2" s="24" t="s">
        <v>553</v>
      </c>
      <c r="D2" s="26" t="s">
        <v>488</v>
      </c>
      <c r="E2" s="177" t="s">
        <v>1</v>
      </c>
      <c r="F2" s="179" t="s">
        <v>18</v>
      </c>
    </row>
    <row r="3" spans="1:6" ht="40" customHeight="1" thickBot="1" x14ac:dyDescent="0.45">
      <c r="A3" s="182"/>
      <c r="B3" s="178"/>
      <c r="C3" s="25" t="s">
        <v>3</v>
      </c>
      <c r="D3" s="38" t="s">
        <v>2</v>
      </c>
      <c r="E3" s="178"/>
      <c r="F3" s="180"/>
    </row>
    <row r="4" spans="1:6" ht="77.5" customHeight="1" x14ac:dyDescent="0.4">
      <c r="A4" s="183" t="s">
        <v>146</v>
      </c>
      <c r="B4" s="71">
        <f>ROW()-ROW($B$3)</f>
        <v>1</v>
      </c>
      <c r="C4" s="119" t="s">
        <v>483</v>
      </c>
      <c r="D4" s="126" t="s">
        <v>487</v>
      </c>
      <c r="E4" s="127" t="s">
        <v>672</v>
      </c>
      <c r="F4" s="73" t="s">
        <v>550</v>
      </c>
    </row>
    <row r="5" spans="1:6" ht="40" customHeight="1" x14ac:dyDescent="0.4">
      <c r="A5" s="184"/>
      <c r="B5" s="43">
        <f t="shared" ref="B5:B44" si="0">ROW()-ROW($B$3)</f>
        <v>2</v>
      </c>
      <c r="C5" s="121" t="s">
        <v>325</v>
      </c>
      <c r="D5" s="128" t="s">
        <v>6</v>
      </c>
      <c r="E5" s="129" t="s">
        <v>664</v>
      </c>
      <c r="F5" s="74"/>
    </row>
    <row r="6" spans="1:6" ht="40" customHeight="1" x14ac:dyDescent="0.4">
      <c r="A6" s="184"/>
      <c r="B6" s="43">
        <f t="shared" si="0"/>
        <v>3</v>
      </c>
      <c r="C6" s="121" t="s">
        <v>415</v>
      </c>
      <c r="D6" s="121" t="s">
        <v>78</v>
      </c>
      <c r="E6" s="129" t="s">
        <v>663</v>
      </c>
      <c r="F6" s="74"/>
    </row>
    <row r="7" spans="1:6" ht="50.5" customHeight="1" x14ac:dyDescent="0.4">
      <c r="A7" s="184"/>
      <c r="B7" s="43">
        <f t="shared" si="0"/>
        <v>4</v>
      </c>
      <c r="C7" s="41" t="s">
        <v>371</v>
      </c>
      <c r="D7" s="41" t="s">
        <v>490</v>
      </c>
      <c r="E7" s="43" t="s">
        <v>95</v>
      </c>
      <c r="F7" s="74" t="s">
        <v>511</v>
      </c>
    </row>
    <row r="8" spans="1:6" ht="66" customHeight="1" x14ac:dyDescent="0.4">
      <c r="A8" s="184"/>
      <c r="B8" s="43">
        <f t="shared" si="0"/>
        <v>5</v>
      </c>
      <c r="C8" s="41" t="s">
        <v>93</v>
      </c>
      <c r="D8" s="41" t="s">
        <v>94</v>
      </c>
      <c r="E8" s="42" t="s">
        <v>489</v>
      </c>
      <c r="F8" s="75" t="s">
        <v>516</v>
      </c>
    </row>
    <row r="9" spans="1:6" ht="40" customHeight="1" x14ac:dyDescent="0.4">
      <c r="A9" s="184"/>
      <c r="B9" s="43">
        <f t="shared" si="0"/>
        <v>6</v>
      </c>
      <c r="C9" s="121" t="s">
        <v>326</v>
      </c>
      <c r="D9" s="128" t="s">
        <v>137</v>
      </c>
      <c r="E9" s="129" t="s">
        <v>725</v>
      </c>
      <c r="F9" s="74" t="s">
        <v>517</v>
      </c>
    </row>
    <row r="10" spans="1:6" ht="50.5" customHeight="1" x14ac:dyDescent="0.4">
      <c r="A10" s="184"/>
      <c r="B10" s="43">
        <f t="shared" si="0"/>
        <v>7</v>
      </c>
      <c r="C10" s="41" t="s">
        <v>140</v>
      </c>
      <c r="D10" s="41" t="s">
        <v>141</v>
      </c>
      <c r="E10" s="43" t="s">
        <v>492</v>
      </c>
      <c r="F10" s="75" t="s">
        <v>518</v>
      </c>
    </row>
    <row r="11" spans="1:6" ht="40" customHeight="1" x14ac:dyDescent="0.4">
      <c r="A11" s="184"/>
      <c r="B11" s="43">
        <f t="shared" si="0"/>
        <v>8</v>
      </c>
      <c r="C11" s="41" t="s">
        <v>68</v>
      </c>
      <c r="D11" s="50" t="s">
        <v>69</v>
      </c>
      <c r="E11" s="43" t="s">
        <v>492</v>
      </c>
      <c r="F11" s="75" t="s">
        <v>519</v>
      </c>
    </row>
    <row r="12" spans="1:6" ht="40" customHeight="1" x14ac:dyDescent="0.4">
      <c r="A12" s="184"/>
      <c r="B12" s="43">
        <f t="shared" si="0"/>
        <v>9</v>
      </c>
      <c r="C12" s="121" t="s">
        <v>70</v>
      </c>
      <c r="D12" s="121" t="s">
        <v>72</v>
      </c>
      <c r="E12" s="120" t="s">
        <v>674</v>
      </c>
      <c r="F12" s="186" t="s">
        <v>748</v>
      </c>
    </row>
    <row r="13" spans="1:6" ht="40" customHeight="1" x14ac:dyDescent="0.4">
      <c r="A13" s="184"/>
      <c r="B13" s="43">
        <f t="shared" si="0"/>
        <v>10</v>
      </c>
      <c r="C13" s="121" t="s">
        <v>71</v>
      </c>
      <c r="D13" s="121" t="s">
        <v>73</v>
      </c>
      <c r="E13" s="120" t="s">
        <v>675</v>
      </c>
      <c r="F13" s="187"/>
    </row>
    <row r="14" spans="1:6" ht="40" customHeight="1" x14ac:dyDescent="0.4">
      <c r="A14" s="184"/>
      <c r="B14" s="43">
        <f t="shared" si="0"/>
        <v>11</v>
      </c>
      <c r="C14" s="121" t="s">
        <v>74</v>
      </c>
      <c r="D14" s="121" t="s">
        <v>75</v>
      </c>
      <c r="E14" s="120" t="s">
        <v>676</v>
      </c>
      <c r="F14" s="187"/>
    </row>
    <row r="15" spans="1:6" ht="40" customHeight="1" x14ac:dyDescent="0.4">
      <c r="A15" s="184"/>
      <c r="B15" s="43">
        <f t="shared" si="0"/>
        <v>12</v>
      </c>
      <c r="C15" s="121" t="s">
        <v>80</v>
      </c>
      <c r="D15" s="121" t="s">
        <v>76</v>
      </c>
      <c r="E15" s="120" t="s">
        <v>675</v>
      </c>
      <c r="F15" s="187"/>
    </row>
    <row r="16" spans="1:6" ht="40" customHeight="1" thickBot="1" x14ac:dyDescent="0.45">
      <c r="A16" s="185"/>
      <c r="B16" s="46">
        <f t="shared" si="0"/>
        <v>13</v>
      </c>
      <c r="C16" s="124" t="s">
        <v>79</v>
      </c>
      <c r="D16" s="124" t="s">
        <v>77</v>
      </c>
      <c r="E16" s="123" t="s">
        <v>676</v>
      </c>
      <c r="F16" s="188"/>
    </row>
    <row r="17" spans="1:7" ht="40" customHeight="1" x14ac:dyDescent="0.4">
      <c r="A17" s="183" t="s">
        <v>655</v>
      </c>
      <c r="B17" s="71">
        <f t="shared" si="0"/>
        <v>14</v>
      </c>
      <c r="C17" s="119" t="s">
        <v>336</v>
      </c>
      <c r="D17" s="119" t="s">
        <v>475</v>
      </c>
      <c r="E17" s="118" t="s">
        <v>674</v>
      </c>
      <c r="F17" s="189" t="s">
        <v>749</v>
      </c>
    </row>
    <row r="18" spans="1:7" ht="40" customHeight="1" x14ac:dyDescent="0.4">
      <c r="A18" s="184"/>
      <c r="B18" s="43">
        <f t="shared" si="0"/>
        <v>15</v>
      </c>
      <c r="C18" s="121" t="s">
        <v>10</v>
      </c>
      <c r="D18" s="121" t="s">
        <v>493</v>
      </c>
      <c r="E18" s="120" t="s">
        <v>677</v>
      </c>
      <c r="F18" s="190"/>
    </row>
    <row r="19" spans="1:7" ht="62" customHeight="1" x14ac:dyDescent="0.4">
      <c r="A19" s="184"/>
      <c r="B19" s="43">
        <f t="shared" si="0"/>
        <v>16</v>
      </c>
      <c r="C19" s="121" t="s">
        <v>494</v>
      </c>
      <c r="D19" s="121" t="s">
        <v>495</v>
      </c>
      <c r="E19" s="120" t="s">
        <v>675</v>
      </c>
      <c r="F19" s="190"/>
    </row>
    <row r="20" spans="1:7" ht="64" customHeight="1" thickBot="1" x14ac:dyDescent="0.45">
      <c r="A20" s="185"/>
      <c r="B20" s="46">
        <f t="shared" si="0"/>
        <v>17</v>
      </c>
      <c r="C20" s="124" t="s">
        <v>496</v>
      </c>
      <c r="D20" s="124" t="s">
        <v>497</v>
      </c>
      <c r="E20" s="123" t="s">
        <v>678</v>
      </c>
      <c r="F20" s="191"/>
    </row>
    <row r="21" spans="1:7" ht="40" customHeight="1" x14ac:dyDescent="0.4">
      <c r="A21" s="183" t="s">
        <v>147</v>
      </c>
      <c r="B21" s="71">
        <f t="shared" si="0"/>
        <v>18</v>
      </c>
      <c r="C21" s="119" t="s">
        <v>82</v>
      </c>
      <c r="D21" s="119" t="s">
        <v>85</v>
      </c>
      <c r="E21" s="118" t="s">
        <v>670</v>
      </c>
      <c r="F21" s="78" t="s">
        <v>571</v>
      </c>
    </row>
    <row r="22" spans="1:7" ht="40" customHeight="1" x14ac:dyDescent="0.4">
      <c r="A22" s="184"/>
      <c r="B22" s="43">
        <f t="shared" si="0"/>
        <v>19</v>
      </c>
      <c r="C22" s="121" t="s">
        <v>83</v>
      </c>
      <c r="D22" s="121" t="s">
        <v>86</v>
      </c>
      <c r="E22" s="120" t="s">
        <v>671</v>
      </c>
      <c r="F22" s="74" t="s">
        <v>576</v>
      </c>
    </row>
    <row r="23" spans="1:7" ht="40" customHeight="1" x14ac:dyDescent="0.4">
      <c r="A23" s="184"/>
      <c r="B23" s="43">
        <f t="shared" si="0"/>
        <v>20</v>
      </c>
      <c r="C23" s="121" t="s">
        <v>416</v>
      </c>
      <c r="D23" s="121" t="s">
        <v>88</v>
      </c>
      <c r="E23" s="120" t="s">
        <v>671</v>
      </c>
      <c r="F23" s="74" t="s">
        <v>576</v>
      </c>
    </row>
    <row r="24" spans="1:7" ht="40" customHeight="1" x14ac:dyDescent="0.4">
      <c r="A24" s="184"/>
      <c r="B24" s="43">
        <f t="shared" si="0"/>
        <v>21</v>
      </c>
      <c r="C24" s="121" t="s">
        <v>417</v>
      </c>
      <c r="D24" s="121" t="s">
        <v>89</v>
      </c>
      <c r="E24" s="120" t="s">
        <v>671</v>
      </c>
      <c r="F24" s="74" t="s">
        <v>576</v>
      </c>
    </row>
    <row r="25" spans="1:7" ht="40" customHeight="1" x14ac:dyDescent="0.4">
      <c r="A25" s="184"/>
      <c r="B25" s="43">
        <f t="shared" si="0"/>
        <v>22</v>
      </c>
      <c r="C25" s="121" t="s">
        <v>419</v>
      </c>
      <c r="D25" s="121" t="s">
        <v>90</v>
      </c>
      <c r="E25" s="120" t="s">
        <v>671</v>
      </c>
      <c r="F25" s="74" t="s">
        <v>576</v>
      </c>
    </row>
    <row r="26" spans="1:7" ht="40" customHeight="1" thickBot="1" x14ac:dyDescent="0.45">
      <c r="A26" s="185"/>
      <c r="B26" s="46">
        <f t="shared" si="0"/>
        <v>23</v>
      </c>
      <c r="C26" s="124" t="s">
        <v>780</v>
      </c>
      <c r="D26" s="124" t="s">
        <v>87</v>
      </c>
      <c r="E26" s="123" t="s">
        <v>664</v>
      </c>
      <c r="F26" s="76" t="s">
        <v>577</v>
      </c>
      <c r="G26" s="157">
        <v>46120</v>
      </c>
    </row>
    <row r="27" spans="1:7" ht="82" customHeight="1" x14ac:dyDescent="0.4">
      <c r="A27" s="183" t="s">
        <v>498</v>
      </c>
      <c r="B27" s="71">
        <f t="shared" si="0"/>
        <v>24</v>
      </c>
      <c r="C27" s="119" t="s">
        <v>327</v>
      </c>
      <c r="D27" s="119" t="s">
        <v>317</v>
      </c>
      <c r="E27" s="118" t="s">
        <v>750</v>
      </c>
      <c r="F27" s="192" t="s">
        <v>752</v>
      </c>
    </row>
    <row r="28" spans="1:7" ht="40" customHeight="1" x14ac:dyDescent="0.4">
      <c r="A28" s="184"/>
      <c r="B28" s="43">
        <f t="shared" si="0"/>
        <v>25</v>
      </c>
      <c r="C28" s="121" t="s">
        <v>328</v>
      </c>
      <c r="D28" s="121" t="s">
        <v>318</v>
      </c>
      <c r="E28" s="120" t="s">
        <v>679</v>
      </c>
      <c r="F28" s="187"/>
    </row>
    <row r="29" spans="1:7" ht="40" customHeight="1" x14ac:dyDescent="0.4">
      <c r="A29" s="184"/>
      <c r="B29" s="43">
        <f t="shared" si="0"/>
        <v>26</v>
      </c>
      <c r="C29" s="137" t="s">
        <v>418</v>
      </c>
      <c r="D29" s="121" t="s">
        <v>319</v>
      </c>
      <c r="E29" s="120" t="s">
        <v>680</v>
      </c>
      <c r="F29" s="187"/>
      <c r="G29" s="157">
        <v>46120</v>
      </c>
    </row>
    <row r="30" spans="1:7" ht="40" customHeight="1" x14ac:dyDescent="0.4">
      <c r="A30" s="184"/>
      <c r="B30" s="43">
        <f t="shared" si="0"/>
        <v>27</v>
      </c>
      <c r="C30" s="137" t="s">
        <v>753</v>
      </c>
      <c r="D30" s="121" t="s">
        <v>168</v>
      </c>
      <c r="E30" s="120" t="s">
        <v>680</v>
      </c>
      <c r="F30" s="187"/>
      <c r="G30" s="157">
        <v>46120</v>
      </c>
    </row>
    <row r="31" spans="1:7" ht="40" customHeight="1" x14ac:dyDescent="0.4">
      <c r="A31" s="184"/>
      <c r="B31" s="43">
        <f t="shared" si="0"/>
        <v>28</v>
      </c>
      <c r="C31" s="137" t="s">
        <v>754</v>
      </c>
      <c r="D31" s="121" t="s">
        <v>320</v>
      </c>
      <c r="E31" s="120" t="s">
        <v>680</v>
      </c>
      <c r="F31" s="187"/>
      <c r="G31" s="157">
        <v>46120</v>
      </c>
    </row>
    <row r="32" spans="1:7" ht="40" customHeight="1" thickBot="1" x14ac:dyDescent="0.45">
      <c r="A32" s="185"/>
      <c r="B32" s="46">
        <f t="shared" si="0"/>
        <v>29</v>
      </c>
      <c r="C32" s="124" t="s">
        <v>329</v>
      </c>
      <c r="D32" s="124" t="s">
        <v>321</v>
      </c>
      <c r="E32" s="123" t="s">
        <v>680</v>
      </c>
      <c r="F32" s="188"/>
    </row>
    <row r="33" spans="1:6" ht="40" customHeight="1" x14ac:dyDescent="0.4">
      <c r="A33" s="171" t="s">
        <v>276</v>
      </c>
      <c r="B33" s="71">
        <f t="shared" si="0"/>
        <v>30</v>
      </c>
      <c r="C33" s="119" t="s">
        <v>333</v>
      </c>
      <c r="D33" s="119" t="s">
        <v>96</v>
      </c>
      <c r="E33" s="118" t="s">
        <v>676</v>
      </c>
      <c r="F33" s="73" t="s">
        <v>499</v>
      </c>
    </row>
    <row r="34" spans="1:6" ht="40" customHeight="1" x14ac:dyDescent="0.4">
      <c r="A34" s="172"/>
      <c r="B34" s="43">
        <f t="shared" si="0"/>
        <v>31</v>
      </c>
      <c r="C34" s="121" t="s">
        <v>485</v>
      </c>
      <c r="D34" s="121" t="s">
        <v>486</v>
      </c>
      <c r="E34" s="120" t="s">
        <v>676</v>
      </c>
      <c r="F34" s="75" t="s">
        <v>501</v>
      </c>
    </row>
    <row r="35" spans="1:6" ht="40" customHeight="1" x14ac:dyDescent="0.4">
      <c r="A35" s="172"/>
      <c r="B35" s="43">
        <f t="shared" si="0"/>
        <v>32</v>
      </c>
      <c r="C35" s="121" t="s">
        <v>413</v>
      </c>
      <c r="D35" s="121" t="s">
        <v>414</v>
      </c>
      <c r="E35" s="120" t="s">
        <v>676</v>
      </c>
      <c r="F35" s="75" t="s">
        <v>502</v>
      </c>
    </row>
    <row r="36" spans="1:6" ht="40" customHeight="1" thickBot="1" x14ac:dyDescent="0.45">
      <c r="A36" s="173"/>
      <c r="B36" s="46">
        <f t="shared" si="0"/>
        <v>33</v>
      </c>
      <c r="C36" s="124" t="s">
        <v>98</v>
      </c>
      <c r="D36" s="124" t="s">
        <v>97</v>
      </c>
      <c r="E36" s="123" t="s">
        <v>681</v>
      </c>
      <c r="F36" s="77" t="s">
        <v>500</v>
      </c>
    </row>
    <row r="37" spans="1:6" ht="40" customHeight="1" x14ac:dyDescent="0.4">
      <c r="A37" s="174" t="s">
        <v>148</v>
      </c>
      <c r="B37" s="71">
        <f t="shared" si="0"/>
        <v>34</v>
      </c>
      <c r="C37" s="119" t="s">
        <v>330</v>
      </c>
      <c r="D37" s="119" t="s">
        <v>254</v>
      </c>
      <c r="E37" s="118" t="s">
        <v>664</v>
      </c>
      <c r="F37" s="73" t="s">
        <v>255</v>
      </c>
    </row>
    <row r="38" spans="1:6" s="68" customFormat="1" ht="52" customHeight="1" x14ac:dyDescent="0.4">
      <c r="A38" s="175"/>
      <c r="B38" s="43">
        <f t="shared" si="0"/>
        <v>35</v>
      </c>
      <c r="C38" s="121" t="s">
        <v>332</v>
      </c>
      <c r="D38" s="121" t="s">
        <v>91</v>
      </c>
      <c r="E38" s="120" t="s">
        <v>682</v>
      </c>
      <c r="F38" s="75" t="s">
        <v>503</v>
      </c>
    </row>
    <row r="39" spans="1:6" s="68" customFormat="1" ht="88" customHeight="1" x14ac:dyDescent="0.4">
      <c r="A39" s="175"/>
      <c r="B39" s="43">
        <f t="shared" si="0"/>
        <v>36</v>
      </c>
      <c r="C39" s="121" t="s">
        <v>426</v>
      </c>
      <c r="D39" s="121" t="s">
        <v>427</v>
      </c>
      <c r="E39" s="120" t="s">
        <v>683</v>
      </c>
      <c r="F39" s="75" t="s">
        <v>504</v>
      </c>
    </row>
    <row r="40" spans="1:6" s="68" customFormat="1" ht="88" customHeight="1" x14ac:dyDescent="0.4">
      <c r="A40" s="175"/>
      <c r="B40" s="43">
        <f t="shared" si="0"/>
        <v>37</v>
      </c>
      <c r="C40" s="121" t="s">
        <v>421</v>
      </c>
      <c r="D40" s="121" t="s">
        <v>422</v>
      </c>
      <c r="E40" s="120" t="s">
        <v>684</v>
      </c>
      <c r="F40" s="75" t="s">
        <v>505</v>
      </c>
    </row>
    <row r="41" spans="1:6" ht="88" customHeight="1" x14ac:dyDescent="0.4">
      <c r="A41" s="175"/>
      <c r="B41" s="43">
        <f t="shared" si="0"/>
        <v>38</v>
      </c>
      <c r="C41" s="121" t="s">
        <v>484</v>
      </c>
      <c r="D41" s="121" t="s">
        <v>92</v>
      </c>
      <c r="E41" s="120" t="s">
        <v>685</v>
      </c>
      <c r="F41" s="75" t="s">
        <v>506</v>
      </c>
    </row>
    <row r="42" spans="1:6" s="68" customFormat="1" ht="88" customHeight="1" x14ac:dyDescent="0.4">
      <c r="A42" s="175"/>
      <c r="B42" s="43">
        <v>31</v>
      </c>
      <c r="C42" s="121" t="s">
        <v>425</v>
      </c>
      <c r="D42" s="121" t="s">
        <v>420</v>
      </c>
      <c r="E42" s="120" t="s">
        <v>675</v>
      </c>
      <c r="F42" s="75" t="s">
        <v>506</v>
      </c>
    </row>
    <row r="43" spans="1:6" s="68" customFormat="1" ht="88" customHeight="1" x14ac:dyDescent="0.4">
      <c r="A43" s="175"/>
      <c r="B43" s="43">
        <f t="shared" si="0"/>
        <v>40</v>
      </c>
      <c r="C43" s="130" t="s">
        <v>507</v>
      </c>
      <c r="D43" s="130" t="s">
        <v>508</v>
      </c>
      <c r="E43" s="120" t="s">
        <v>682</v>
      </c>
      <c r="F43" s="75" t="s">
        <v>506</v>
      </c>
    </row>
    <row r="44" spans="1:6" ht="88" customHeight="1" x14ac:dyDescent="0.4">
      <c r="A44" s="175"/>
      <c r="B44" s="43">
        <f t="shared" si="0"/>
        <v>41</v>
      </c>
      <c r="C44" s="121" t="s">
        <v>491</v>
      </c>
      <c r="D44" s="121" t="s">
        <v>235</v>
      </c>
      <c r="E44" s="120" t="s">
        <v>675</v>
      </c>
      <c r="F44" s="75" t="s">
        <v>506</v>
      </c>
    </row>
    <row r="45" spans="1:6" ht="88" customHeight="1" thickBot="1" x14ac:dyDescent="0.45">
      <c r="A45" s="176"/>
      <c r="B45" s="46">
        <v>34</v>
      </c>
      <c r="C45" s="124" t="s">
        <v>423</v>
      </c>
      <c r="D45" s="124" t="s">
        <v>509</v>
      </c>
      <c r="E45" s="123" t="s">
        <v>676</v>
      </c>
      <c r="F45" s="77" t="s">
        <v>510</v>
      </c>
    </row>
    <row r="47" spans="1:6" ht="17" x14ac:dyDescent="0.4">
      <c r="B47" s="66"/>
      <c r="C47" s="66"/>
      <c r="D47" s="66"/>
      <c r="E47" s="67"/>
      <c r="F47" s="66"/>
    </row>
    <row r="48" spans="1:6" ht="17" x14ac:dyDescent="0.4">
      <c r="B48" s="66"/>
      <c r="C48" s="66"/>
      <c r="D48" s="66"/>
      <c r="E48" s="67"/>
      <c r="F48" s="66"/>
    </row>
    <row r="50" spans="2:6" ht="40" customHeight="1" x14ac:dyDescent="0.4">
      <c r="B50" s="15"/>
      <c r="C50" s="16"/>
      <c r="D50" s="39"/>
      <c r="E50" s="15"/>
      <c r="F50" s="39"/>
    </row>
    <row r="51" spans="2:6" ht="40" customHeight="1" x14ac:dyDescent="0.4">
      <c r="B51" s="15"/>
      <c r="C51" s="16"/>
      <c r="D51" s="39"/>
      <c r="E51" s="15"/>
      <c r="F51" s="39"/>
    </row>
    <row r="52" spans="2:6" ht="40" customHeight="1" x14ac:dyDescent="0.4">
      <c r="B52" s="15"/>
      <c r="C52" s="16"/>
      <c r="D52" s="39"/>
      <c r="E52" s="15"/>
      <c r="F52" s="20"/>
    </row>
    <row r="53" spans="2:6" ht="40" customHeight="1" x14ac:dyDescent="0.4">
      <c r="B53" s="15"/>
      <c r="C53" s="16"/>
      <c r="D53" s="39"/>
      <c r="E53" s="15"/>
      <c r="F53" s="20"/>
    </row>
    <row r="54" spans="2:6" ht="40" customHeight="1" x14ac:dyDescent="0.4">
      <c r="B54" s="15"/>
      <c r="C54" s="16"/>
      <c r="D54" s="39"/>
      <c r="E54" s="15"/>
      <c r="F54" s="20"/>
    </row>
    <row r="55" spans="2:6" ht="40" customHeight="1" x14ac:dyDescent="0.4">
      <c r="B55" s="15"/>
      <c r="C55" s="16"/>
      <c r="D55" s="39"/>
      <c r="E55" s="15"/>
      <c r="F55" s="20"/>
    </row>
    <row r="56" spans="2:6" ht="40" customHeight="1" x14ac:dyDescent="0.4">
      <c r="B56" s="15"/>
      <c r="C56" s="16"/>
      <c r="D56" s="39"/>
      <c r="E56" s="15"/>
      <c r="F56" s="20"/>
    </row>
    <row r="57" spans="2:6" ht="40" customHeight="1" x14ac:dyDescent="0.4">
      <c r="B57" s="15"/>
      <c r="C57" s="16"/>
      <c r="D57" s="39"/>
      <c r="E57" s="15"/>
      <c r="F57" s="20"/>
    </row>
    <row r="58" spans="2:6" ht="40" customHeight="1" x14ac:dyDescent="0.4">
      <c r="B58" s="15"/>
      <c r="C58" s="16"/>
      <c r="D58" s="39"/>
      <c r="E58" s="15"/>
      <c r="F58" s="20"/>
    </row>
    <row r="59" spans="2:6" ht="40" customHeight="1" x14ac:dyDescent="0.4">
      <c r="B59" s="15"/>
      <c r="C59" s="16"/>
      <c r="D59" s="39"/>
      <c r="E59" s="15"/>
      <c r="F59" s="20"/>
    </row>
    <row r="60" spans="2:6" ht="40" customHeight="1" x14ac:dyDescent="0.4">
      <c r="B60" s="15"/>
      <c r="C60" s="16"/>
      <c r="D60" s="39"/>
      <c r="E60" s="15"/>
      <c r="F60" s="20"/>
    </row>
    <row r="61" spans="2:6" ht="40" customHeight="1" x14ac:dyDescent="0.4">
      <c r="B61" s="15"/>
      <c r="C61" s="16"/>
      <c r="D61" s="39"/>
      <c r="E61" s="15"/>
      <c r="F61" s="20"/>
    </row>
    <row r="62" spans="2:6" ht="40" customHeight="1" x14ac:dyDescent="0.4">
      <c r="B62" s="15"/>
      <c r="C62" s="16"/>
      <c r="D62" s="39"/>
      <c r="E62" s="15"/>
      <c r="F62" s="20"/>
    </row>
    <row r="63" spans="2:6" ht="40" customHeight="1" x14ac:dyDescent="0.4">
      <c r="B63" s="15"/>
      <c r="C63" s="16"/>
      <c r="D63" s="39"/>
      <c r="E63" s="15"/>
      <c r="F63" s="20"/>
    </row>
    <row r="64" spans="2:6" ht="40" customHeight="1" x14ac:dyDescent="0.4">
      <c r="F64" s="20"/>
    </row>
  </sheetData>
  <mergeCells count="14">
    <mergeCell ref="A1:F1"/>
    <mergeCell ref="A33:A36"/>
    <mergeCell ref="A37:A45"/>
    <mergeCell ref="B2:B3"/>
    <mergeCell ref="E2:E3"/>
    <mergeCell ref="F2:F3"/>
    <mergeCell ref="A2:A3"/>
    <mergeCell ref="A4:A16"/>
    <mergeCell ref="A17:A20"/>
    <mergeCell ref="A21:A26"/>
    <mergeCell ref="A27:A32"/>
    <mergeCell ref="F12:F16"/>
    <mergeCell ref="F17:F20"/>
    <mergeCell ref="F27:F32"/>
  </mergeCells>
  <phoneticPr fontId="1" type="noConversion"/>
  <printOptions horizontalCentered="1" verticalCentered="1"/>
  <pageMargins left="0" right="0" top="0.19685039370078741" bottom="0" header="0.31496062992125984" footer="0.31496062992125984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2"/>
  </sheetPr>
  <dimension ref="A1:G94"/>
  <sheetViews>
    <sheetView zoomScale="70" zoomScaleNormal="70" workbookViewId="0">
      <selection activeCell="F4" sqref="F4"/>
    </sheetView>
  </sheetViews>
  <sheetFormatPr defaultRowHeight="40" customHeight="1" x14ac:dyDescent="0.4"/>
  <cols>
    <col min="1" max="1" width="14" style="27" customWidth="1"/>
    <col min="2" max="2" width="7.453125" style="2" customWidth="1"/>
    <col min="3" max="3" width="41.81640625" style="2" customWidth="1"/>
    <col min="4" max="4" width="45.6328125" style="2" customWidth="1"/>
    <col min="5" max="5" width="24.453125" style="6" customWidth="1"/>
    <col min="6" max="6" width="71" style="2" customWidth="1"/>
    <col min="7" max="16384" width="8.7265625" style="2"/>
  </cols>
  <sheetData>
    <row r="1" spans="1:6" s="19" customFormat="1" ht="209" customHeight="1" thickBot="1" x14ac:dyDescent="0.45">
      <c r="A1" s="200" t="s">
        <v>551</v>
      </c>
      <c r="B1" s="200"/>
      <c r="C1" s="200"/>
      <c r="D1" s="200"/>
      <c r="E1" s="200"/>
      <c r="F1" s="200"/>
    </row>
    <row r="2" spans="1:6" s="1" customFormat="1" ht="61.5" customHeight="1" x14ac:dyDescent="0.4">
      <c r="A2" s="196" t="s">
        <v>145</v>
      </c>
      <c r="B2" s="206" t="s">
        <v>49</v>
      </c>
      <c r="C2" s="83" t="s">
        <v>525</v>
      </c>
      <c r="D2" s="84" t="s">
        <v>512</v>
      </c>
      <c r="E2" s="208" t="s">
        <v>1</v>
      </c>
      <c r="F2" s="206" t="s">
        <v>18</v>
      </c>
    </row>
    <row r="3" spans="1:6" s="1" customFormat="1" ht="40" customHeight="1" thickBot="1" x14ac:dyDescent="0.45">
      <c r="A3" s="205"/>
      <c r="B3" s="207"/>
      <c r="C3" s="86" t="s">
        <v>3</v>
      </c>
      <c r="D3" s="86" t="s">
        <v>2</v>
      </c>
      <c r="E3" s="209"/>
      <c r="F3" s="207"/>
    </row>
    <row r="4" spans="1:6" s="1" customFormat="1" ht="114.5" customHeight="1" x14ac:dyDescent="0.4">
      <c r="A4" s="201" t="s">
        <v>154</v>
      </c>
      <c r="B4" s="71">
        <f>ROW()-ROW($B$3)</f>
        <v>1</v>
      </c>
      <c r="C4" s="119" t="s">
        <v>524</v>
      </c>
      <c r="D4" s="119" t="s">
        <v>548</v>
      </c>
      <c r="E4" s="127" t="s">
        <v>686</v>
      </c>
      <c r="F4" s="73" t="s">
        <v>815</v>
      </c>
    </row>
    <row r="5" spans="1:6" s="1" customFormat="1" ht="40" customHeight="1" x14ac:dyDescent="0.4">
      <c r="A5" s="194"/>
      <c r="B5" s="43">
        <f>ROW()-ROW($B$3)</f>
        <v>2</v>
      </c>
      <c r="C5" s="121" t="s">
        <v>335</v>
      </c>
      <c r="D5" s="128" t="s">
        <v>6</v>
      </c>
      <c r="E5" s="129" t="s">
        <v>663</v>
      </c>
      <c r="F5" s="74"/>
    </row>
    <row r="6" spans="1:6" s="14" customFormat="1" ht="40" customHeight="1" x14ac:dyDescent="0.4">
      <c r="A6" s="194"/>
      <c r="B6" s="43">
        <f>ROW()-ROW($B$3)</f>
        <v>3</v>
      </c>
      <c r="C6" s="121" t="s">
        <v>337</v>
      </c>
      <c r="D6" s="128" t="s">
        <v>137</v>
      </c>
      <c r="E6" s="129" t="s">
        <v>673</v>
      </c>
      <c r="F6" s="74" t="s">
        <v>217</v>
      </c>
    </row>
    <row r="7" spans="1:6" s="37" customFormat="1" ht="70" customHeight="1" x14ac:dyDescent="0.4">
      <c r="A7" s="194"/>
      <c r="B7" s="43">
        <f t="shared" ref="B7:B75" si="0">ROW()-ROW($B$3)</f>
        <v>4</v>
      </c>
      <c r="C7" s="41" t="s">
        <v>353</v>
      </c>
      <c r="D7" s="41" t="s">
        <v>94</v>
      </c>
      <c r="E7" s="42" t="s">
        <v>686</v>
      </c>
      <c r="F7" s="75" t="s">
        <v>515</v>
      </c>
    </row>
    <row r="8" spans="1:6" ht="40" customHeight="1" x14ac:dyDescent="0.4">
      <c r="A8" s="194"/>
      <c r="B8" s="43">
        <f t="shared" si="0"/>
        <v>5</v>
      </c>
      <c r="C8" s="41" t="s">
        <v>371</v>
      </c>
      <c r="D8" s="41" t="s">
        <v>0</v>
      </c>
      <c r="E8" s="43" t="s">
        <v>687</v>
      </c>
      <c r="F8" s="74" t="s">
        <v>569</v>
      </c>
    </row>
    <row r="9" spans="1:6" s="1" customFormat="1" ht="40" customHeight="1" x14ac:dyDescent="0.4">
      <c r="A9" s="194"/>
      <c r="B9" s="43">
        <f t="shared" si="0"/>
        <v>6</v>
      </c>
      <c r="C9" s="41" t="s">
        <v>334</v>
      </c>
      <c r="D9" s="50" t="s">
        <v>5</v>
      </c>
      <c r="E9" s="42" t="s">
        <v>234</v>
      </c>
      <c r="F9" s="75" t="s">
        <v>518</v>
      </c>
    </row>
    <row r="10" spans="1:6" s="14" customFormat="1" ht="40" customHeight="1" x14ac:dyDescent="0.4">
      <c r="A10" s="194"/>
      <c r="B10" s="43">
        <f t="shared" si="0"/>
        <v>7</v>
      </c>
      <c r="C10" s="41" t="s">
        <v>140</v>
      </c>
      <c r="D10" s="41" t="s">
        <v>141</v>
      </c>
      <c r="E10" s="42" t="s">
        <v>9</v>
      </c>
      <c r="F10" s="75" t="s">
        <v>519</v>
      </c>
    </row>
    <row r="11" spans="1:6" s="1" customFormat="1" ht="40" customHeight="1" thickBot="1" x14ac:dyDescent="0.45">
      <c r="A11" s="199"/>
      <c r="B11" s="46">
        <f>ROW()-ROW($B$3)</f>
        <v>8</v>
      </c>
      <c r="C11" s="124" t="s">
        <v>336</v>
      </c>
      <c r="D11" s="131" t="s">
        <v>7</v>
      </c>
      <c r="E11" s="123" t="s">
        <v>675</v>
      </c>
      <c r="F11" s="76" t="s">
        <v>520</v>
      </c>
    </row>
    <row r="12" spans="1:6" ht="40" customHeight="1" x14ac:dyDescent="0.4">
      <c r="A12" s="193" t="s">
        <v>726</v>
      </c>
      <c r="B12" s="51">
        <f t="shared" ref="B12:B74" si="1">ROW()-ROW($B$3)</f>
        <v>9</v>
      </c>
      <c r="C12" s="132" t="s">
        <v>345</v>
      </c>
      <c r="D12" s="132" t="s">
        <v>437</v>
      </c>
      <c r="E12" s="133" t="s">
        <v>688</v>
      </c>
      <c r="F12" s="88" t="s">
        <v>431</v>
      </c>
    </row>
    <row r="13" spans="1:6" ht="40" customHeight="1" x14ac:dyDescent="0.4">
      <c r="A13" s="194"/>
      <c r="B13" s="43">
        <f t="shared" si="1"/>
        <v>10</v>
      </c>
      <c r="C13" s="121" t="s">
        <v>346</v>
      </c>
      <c r="D13" s="121" t="s">
        <v>438</v>
      </c>
      <c r="E13" s="120" t="s">
        <v>689</v>
      </c>
      <c r="F13" s="74" t="s">
        <v>430</v>
      </c>
    </row>
    <row r="14" spans="1:6" s="14" customFormat="1" ht="40" customHeight="1" x14ac:dyDescent="0.4">
      <c r="A14" s="194"/>
      <c r="B14" s="43">
        <f t="shared" ref="B14:B94" si="2">ROW()-ROW($B$3)</f>
        <v>11</v>
      </c>
      <c r="C14" s="121" t="s">
        <v>352</v>
      </c>
      <c r="D14" s="121" t="s">
        <v>107</v>
      </c>
      <c r="E14" s="120" t="s">
        <v>690</v>
      </c>
      <c r="F14" s="74" t="s">
        <v>569</v>
      </c>
    </row>
    <row r="15" spans="1:6" s="14" customFormat="1" ht="74" customHeight="1" x14ac:dyDescent="0.4">
      <c r="A15" s="194"/>
      <c r="B15" s="43">
        <f t="shared" si="2"/>
        <v>12</v>
      </c>
      <c r="C15" s="121" t="s">
        <v>447</v>
      </c>
      <c r="D15" s="121" t="s">
        <v>91</v>
      </c>
      <c r="E15" s="120" t="s">
        <v>691</v>
      </c>
      <c r="F15" s="75" t="s">
        <v>521</v>
      </c>
    </row>
    <row r="16" spans="1:6" s="14" customFormat="1" ht="78.5" customHeight="1" thickBot="1" x14ac:dyDescent="0.45">
      <c r="A16" s="199"/>
      <c r="B16" s="46">
        <f t="shared" si="2"/>
        <v>13</v>
      </c>
      <c r="C16" s="124" t="s">
        <v>513</v>
      </c>
      <c r="D16" s="124" t="s">
        <v>92</v>
      </c>
      <c r="E16" s="123" t="s">
        <v>688</v>
      </c>
      <c r="F16" s="77" t="s">
        <v>521</v>
      </c>
    </row>
    <row r="17" spans="1:7" ht="40" customHeight="1" x14ac:dyDescent="0.4">
      <c r="A17" s="193" t="s">
        <v>656</v>
      </c>
      <c r="B17" s="51">
        <f t="shared" si="1"/>
        <v>14</v>
      </c>
      <c r="C17" s="132" t="s">
        <v>10</v>
      </c>
      <c r="D17" s="132" t="s">
        <v>11</v>
      </c>
      <c r="E17" s="133" t="s">
        <v>692</v>
      </c>
      <c r="F17" s="81" t="s">
        <v>522</v>
      </c>
    </row>
    <row r="18" spans="1:7" ht="40" customHeight="1" x14ac:dyDescent="0.4">
      <c r="A18" s="194"/>
      <c r="B18" s="43">
        <f t="shared" si="1"/>
        <v>15</v>
      </c>
      <c r="C18" s="41" t="s">
        <v>338</v>
      </c>
      <c r="D18" s="41" t="s">
        <v>25</v>
      </c>
      <c r="E18" s="43" t="s">
        <v>523</v>
      </c>
      <c r="F18" s="74" t="s">
        <v>569</v>
      </c>
    </row>
    <row r="19" spans="1:7" ht="40" customHeight="1" x14ac:dyDescent="0.4">
      <c r="A19" s="194"/>
      <c r="B19" s="43">
        <f t="shared" si="1"/>
        <v>16</v>
      </c>
      <c r="C19" s="121" t="s">
        <v>13</v>
      </c>
      <c r="D19" s="121" t="s">
        <v>14</v>
      </c>
      <c r="E19" s="120" t="s">
        <v>663</v>
      </c>
      <c r="F19" s="75" t="s">
        <v>257</v>
      </c>
    </row>
    <row r="20" spans="1:7" ht="40" customHeight="1" x14ac:dyDescent="0.4">
      <c r="A20" s="194"/>
      <c r="B20" s="43">
        <f>ROW()-ROW($B$3)</f>
        <v>17</v>
      </c>
      <c r="C20" s="41" t="s">
        <v>526</v>
      </c>
      <c r="D20" s="41" t="s">
        <v>528</v>
      </c>
      <c r="E20" s="43" t="s">
        <v>67</v>
      </c>
      <c r="F20" s="74" t="s">
        <v>23</v>
      </c>
    </row>
    <row r="21" spans="1:7" ht="40" customHeight="1" x14ac:dyDescent="0.4">
      <c r="A21" s="194"/>
      <c r="B21" s="43">
        <f t="shared" si="1"/>
        <v>18</v>
      </c>
      <c r="C21" s="41" t="s">
        <v>339</v>
      </c>
      <c r="D21" s="41" t="s">
        <v>12</v>
      </c>
      <c r="E21" s="43" t="s">
        <v>727</v>
      </c>
      <c r="F21" s="74" t="s">
        <v>23</v>
      </c>
    </row>
    <row r="22" spans="1:7" ht="40" customHeight="1" x14ac:dyDescent="0.4">
      <c r="A22" s="194"/>
      <c r="B22" s="43">
        <f t="shared" si="1"/>
        <v>19</v>
      </c>
      <c r="C22" s="140" t="s">
        <v>739</v>
      </c>
      <c r="D22" s="140" t="s">
        <v>740</v>
      </c>
      <c r="E22" s="141" t="s">
        <v>687</v>
      </c>
      <c r="F22" s="82" t="s">
        <v>742</v>
      </c>
    </row>
    <row r="23" spans="1:7" ht="40" customHeight="1" x14ac:dyDescent="0.4">
      <c r="A23" s="194"/>
      <c r="B23" s="43">
        <f t="shared" si="1"/>
        <v>20</v>
      </c>
      <c r="C23" s="146" t="s">
        <v>183</v>
      </c>
      <c r="D23" s="146" t="s">
        <v>303</v>
      </c>
      <c r="E23" s="147" t="s">
        <v>743</v>
      </c>
      <c r="F23" s="74" t="s">
        <v>569</v>
      </c>
    </row>
    <row r="24" spans="1:7" ht="40" customHeight="1" x14ac:dyDescent="0.4">
      <c r="A24" s="194"/>
      <c r="B24" s="43">
        <f t="shared" si="1"/>
        <v>21</v>
      </c>
      <c r="C24" s="41" t="s">
        <v>179</v>
      </c>
      <c r="D24" s="41" t="s">
        <v>428</v>
      </c>
      <c r="E24" s="43" t="s">
        <v>728</v>
      </c>
      <c r="F24" s="74" t="s">
        <v>569</v>
      </c>
    </row>
    <row r="25" spans="1:7" ht="40" customHeight="1" x14ac:dyDescent="0.4">
      <c r="A25" s="194"/>
      <c r="B25" s="43">
        <v>18</v>
      </c>
      <c r="C25" s="41" t="s">
        <v>258</v>
      </c>
      <c r="D25" s="41" t="s">
        <v>259</v>
      </c>
      <c r="E25" s="43" t="s">
        <v>727</v>
      </c>
      <c r="F25" s="74" t="s">
        <v>569</v>
      </c>
    </row>
    <row r="26" spans="1:7" ht="40" customHeight="1" x14ac:dyDescent="0.4">
      <c r="A26" s="194"/>
      <c r="B26" s="43">
        <f t="shared" si="1"/>
        <v>23</v>
      </c>
      <c r="C26" s="41" t="s">
        <v>341</v>
      </c>
      <c r="D26" s="41" t="s">
        <v>181</v>
      </c>
      <c r="E26" s="43" t="s">
        <v>727</v>
      </c>
      <c r="F26" s="74" t="s">
        <v>569</v>
      </c>
    </row>
    <row r="27" spans="1:7" ht="40" customHeight="1" x14ac:dyDescent="0.4">
      <c r="A27" s="194"/>
      <c r="B27" s="43">
        <f t="shared" si="1"/>
        <v>24</v>
      </c>
      <c r="C27" s="41" t="s">
        <v>142</v>
      </c>
      <c r="D27" s="41" t="s">
        <v>143</v>
      </c>
      <c r="E27" s="43" t="s">
        <v>687</v>
      </c>
      <c r="F27" s="74" t="s">
        <v>569</v>
      </c>
    </row>
    <row r="28" spans="1:7" ht="40" customHeight="1" x14ac:dyDescent="0.4">
      <c r="A28" s="194"/>
      <c r="B28" s="43">
        <f t="shared" si="1"/>
        <v>25</v>
      </c>
      <c r="C28" s="41" t="s">
        <v>402</v>
      </c>
      <c r="D28" s="41" t="s">
        <v>433</v>
      </c>
      <c r="E28" s="43" t="s">
        <v>728</v>
      </c>
      <c r="F28" s="74" t="s">
        <v>569</v>
      </c>
    </row>
    <row r="29" spans="1:7" ht="40" customHeight="1" x14ac:dyDescent="0.4">
      <c r="A29" s="194"/>
      <c r="B29" s="43">
        <f t="shared" si="1"/>
        <v>26</v>
      </c>
      <c r="C29" s="41" t="s">
        <v>592</v>
      </c>
      <c r="D29" s="41" t="s">
        <v>529</v>
      </c>
      <c r="E29" s="43" t="s">
        <v>687</v>
      </c>
      <c r="F29" s="74" t="s">
        <v>569</v>
      </c>
    </row>
    <row r="30" spans="1:7" ht="40" customHeight="1" x14ac:dyDescent="0.4">
      <c r="A30" s="194"/>
      <c r="B30" s="43">
        <f t="shared" si="1"/>
        <v>27</v>
      </c>
      <c r="C30" s="41" t="s">
        <v>260</v>
      </c>
      <c r="D30" s="41" t="s">
        <v>261</v>
      </c>
      <c r="E30" s="43" t="s">
        <v>729</v>
      </c>
      <c r="F30" s="74" t="s">
        <v>569</v>
      </c>
    </row>
    <row r="31" spans="1:7" ht="40" customHeight="1" x14ac:dyDescent="0.4">
      <c r="A31" s="194"/>
      <c r="B31" s="43">
        <f t="shared" si="1"/>
        <v>28</v>
      </c>
      <c r="C31" s="121" t="s">
        <v>755</v>
      </c>
      <c r="D31" s="121" t="s">
        <v>144</v>
      </c>
      <c r="E31" s="120" t="s">
        <v>663</v>
      </c>
      <c r="F31" s="74" t="s">
        <v>569</v>
      </c>
      <c r="G31" s="158">
        <v>46120</v>
      </c>
    </row>
    <row r="32" spans="1:7" ht="40" customHeight="1" x14ac:dyDescent="0.4">
      <c r="A32" s="194"/>
      <c r="B32" s="43">
        <v>13</v>
      </c>
      <c r="C32" s="41" t="s">
        <v>340</v>
      </c>
      <c r="D32" s="41" t="s">
        <v>527</v>
      </c>
      <c r="E32" s="43" t="s">
        <v>727</v>
      </c>
      <c r="F32" s="74" t="s">
        <v>693</v>
      </c>
    </row>
    <row r="33" spans="1:7" ht="40" customHeight="1" x14ac:dyDescent="0.4">
      <c r="A33" s="194"/>
      <c r="B33" s="43">
        <f t="shared" si="1"/>
        <v>30</v>
      </c>
      <c r="C33" s="121" t="s">
        <v>238</v>
      </c>
      <c r="D33" s="121" t="s">
        <v>241</v>
      </c>
      <c r="E33" s="120" t="s">
        <v>695</v>
      </c>
      <c r="F33" s="75" t="s">
        <v>665</v>
      </c>
    </row>
    <row r="34" spans="1:7" ht="40" customHeight="1" x14ac:dyDescent="0.4">
      <c r="A34" s="194"/>
      <c r="B34" s="43">
        <f t="shared" si="1"/>
        <v>31</v>
      </c>
      <c r="C34" s="41" t="s">
        <v>26</v>
      </c>
      <c r="D34" s="41" t="s">
        <v>24</v>
      </c>
      <c r="E34" s="43" t="s">
        <v>729</v>
      </c>
      <c r="F34" s="82" t="s">
        <v>45</v>
      </c>
    </row>
    <row r="35" spans="1:7" ht="40" customHeight="1" thickBot="1" x14ac:dyDescent="0.45">
      <c r="A35" s="199"/>
      <c r="B35" s="46">
        <f t="shared" si="2"/>
        <v>32</v>
      </c>
      <c r="C35" s="45" t="s">
        <v>46</v>
      </c>
      <c r="D35" s="45" t="s">
        <v>47</v>
      </c>
      <c r="E35" s="46" t="s">
        <v>727</v>
      </c>
      <c r="F35" s="76" t="s">
        <v>571</v>
      </c>
    </row>
    <row r="36" spans="1:7" ht="40" customHeight="1" x14ac:dyDescent="0.4">
      <c r="A36" s="202" t="s">
        <v>155</v>
      </c>
      <c r="B36" s="51">
        <f t="shared" si="1"/>
        <v>33</v>
      </c>
      <c r="C36" s="132" t="s">
        <v>342</v>
      </c>
      <c r="D36" s="132" t="s">
        <v>434</v>
      </c>
      <c r="E36" s="133" t="s">
        <v>696</v>
      </c>
      <c r="F36" s="88" t="s">
        <v>532</v>
      </c>
    </row>
    <row r="37" spans="1:7" ht="40" customHeight="1" x14ac:dyDescent="0.4">
      <c r="A37" s="203"/>
      <c r="B37" s="43">
        <f t="shared" si="1"/>
        <v>34</v>
      </c>
      <c r="C37" s="121" t="s">
        <v>343</v>
      </c>
      <c r="D37" s="121" t="s">
        <v>435</v>
      </c>
      <c r="E37" s="120" t="s">
        <v>696</v>
      </c>
      <c r="F37" s="74" t="s">
        <v>429</v>
      </c>
    </row>
    <row r="38" spans="1:7" ht="40" customHeight="1" thickBot="1" x14ac:dyDescent="0.45">
      <c r="A38" s="204"/>
      <c r="B38" s="46">
        <f t="shared" si="1"/>
        <v>35</v>
      </c>
      <c r="C38" s="124" t="s">
        <v>344</v>
      </c>
      <c r="D38" s="124" t="s">
        <v>436</v>
      </c>
      <c r="E38" s="123" t="s">
        <v>697</v>
      </c>
      <c r="F38" s="76" t="s">
        <v>429</v>
      </c>
    </row>
    <row r="39" spans="1:7" ht="40" customHeight="1" x14ac:dyDescent="0.4">
      <c r="A39" s="193" t="s">
        <v>533</v>
      </c>
      <c r="B39" s="51">
        <f t="shared" si="1"/>
        <v>36</v>
      </c>
      <c r="C39" s="132" t="s">
        <v>16</v>
      </c>
      <c r="D39" s="132" t="s">
        <v>252</v>
      </c>
      <c r="E39" s="133" t="s">
        <v>664</v>
      </c>
      <c r="F39" s="88" t="s">
        <v>570</v>
      </c>
    </row>
    <row r="40" spans="1:7" ht="40" customHeight="1" x14ac:dyDescent="0.4">
      <c r="A40" s="194"/>
      <c r="B40" s="43">
        <f t="shared" si="1"/>
        <v>37</v>
      </c>
      <c r="C40" s="121" t="s">
        <v>17</v>
      </c>
      <c r="D40" s="121" t="s">
        <v>218</v>
      </c>
      <c r="E40" s="120" t="s">
        <v>698</v>
      </c>
      <c r="F40" s="74" t="s">
        <v>571</v>
      </c>
    </row>
    <row r="41" spans="1:7" ht="40" customHeight="1" x14ac:dyDescent="0.4">
      <c r="A41" s="194"/>
      <c r="B41" s="43">
        <f t="shared" si="1"/>
        <v>38</v>
      </c>
      <c r="C41" s="121" t="s">
        <v>756</v>
      </c>
      <c r="D41" s="121" t="s">
        <v>219</v>
      </c>
      <c r="E41" s="120" t="s">
        <v>698</v>
      </c>
      <c r="F41" s="74" t="s">
        <v>571</v>
      </c>
      <c r="G41" s="158">
        <v>46120</v>
      </c>
    </row>
    <row r="42" spans="1:7" ht="40" customHeight="1" x14ac:dyDescent="0.4">
      <c r="A42" s="194"/>
      <c r="B42" s="43">
        <f t="shared" si="1"/>
        <v>39</v>
      </c>
      <c r="C42" s="121" t="s">
        <v>441</v>
      </c>
      <c r="D42" s="121" t="s">
        <v>220</v>
      </c>
      <c r="E42" s="120" t="s">
        <v>698</v>
      </c>
      <c r="F42" s="74" t="s">
        <v>571</v>
      </c>
    </row>
    <row r="43" spans="1:7" ht="40" customHeight="1" x14ac:dyDescent="0.4">
      <c r="A43" s="194"/>
      <c r="B43" s="43">
        <f t="shared" si="1"/>
        <v>40</v>
      </c>
      <c r="C43" s="121" t="s">
        <v>442</v>
      </c>
      <c r="D43" s="121" t="s">
        <v>221</v>
      </c>
      <c r="E43" s="120" t="s">
        <v>698</v>
      </c>
      <c r="F43" s="74" t="s">
        <v>571</v>
      </c>
    </row>
    <row r="44" spans="1:7" ht="40" customHeight="1" thickBot="1" x14ac:dyDescent="0.45">
      <c r="A44" s="199"/>
      <c r="B44" s="46">
        <v>43</v>
      </c>
      <c r="C44" s="124" t="s">
        <v>758</v>
      </c>
      <c r="D44" s="124" t="s">
        <v>287</v>
      </c>
      <c r="E44" s="123" t="s">
        <v>698</v>
      </c>
      <c r="F44" s="76" t="s">
        <v>572</v>
      </c>
      <c r="G44" s="158">
        <v>46120</v>
      </c>
    </row>
    <row r="45" spans="1:7" ht="49" customHeight="1" x14ac:dyDescent="0.4">
      <c r="A45" s="193" t="s">
        <v>534</v>
      </c>
      <c r="B45" s="51">
        <f t="shared" si="1"/>
        <v>42</v>
      </c>
      <c r="C45" s="132" t="s">
        <v>110</v>
      </c>
      <c r="D45" s="132" t="s">
        <v>112</v>
      </c>
      <c r="E45" s="133" t="s">
        <v>680</v>
      </c>
      <c r="F45" s="81" t="s">
        <v>539</v>
      </c>
    </row>
    <row r="46" spans="1:7" ht="49" customHeight="1" x14ac:dyDescent="0.4">
      <c r="A46" s="194"/>
      <c r="B46" s="43">
        <f t="shared" si="1"/>
        <v>43</v>
      </c>
      <c r="C46" s="121" t="s">
        <v>111</v>
      </c>
      <c r="D46" s="121" t="s">
        <v>113</v>
      </c>
      <c r="E46" s="120" t="s">
        <v>699</v>
      </c>
      <c r="F46" s="75" t="s">
        <v>573</v>
      </c>
    </row>
    <row r="47" spans="1:7" ht="49" customHeight="1" x14ac:dyDescent="0.4">
      <c r="A47" s="194"/>
      <c r="B47" s="43">
        <f t="shared" si="1"/>
        <v>44</v>
      </c>
      <c r="C47" s="121" t="s">
        <v>757</v>
      </c>
      <c r="D47" s="121" t="s">
        <v>114</v>
      </c>
      <c r="E47" s="120" t="s">
        <v>679</v>
      </c>
      <c r="F47" s="75" t="s">
        <v>573</v>
      </c>
      <c r="G47" s="158">
        <v>46120</v>
      </c>
    </row>
    <row r="48" spans="1:7" ht="49" customHeight="1" x14ac:dyDescent="0.4">
      <c r="A48" s="194"/>
      <c r="B48" s="43">
        <f t="shared" si="1"/>
        <v>45</v>
      </c>
      <c r="C48" s="121" t="s">
        <v>439</v>
      </c>
      <c r="D48" s="121" t="s">
        <v>115</v>
      </c>
      <c r="E48" s="120" t="s">
        <v>679</v>
      </c>
      <c r="F48" s="75" t="s">
        <v>573</v>
      </c>
    </row>
    <row r="49" spans="1:7" ht="49" customHeight="1" x14ac:dyDescent="0.4">
      <c r="A49" s="194"/>
      <c r="B49" s="43">
        <f t="shared" si="1"/>
        <v>46</v>
      </c>
      <c r="C49" s="121" t="s">
        <v>440</v>
      </c>
      <c r="D49" s="121" t="s">
        <v>285</v>
      </c>
      <c r="E49" s="120" t="s">
        <v>680</v>
      </c>
      <c r="F49" s="75" t="s">
        <v>573</v>
      </c>
    </row>
    <row r="50" spans="1:7" ht="49" customHeight="1" thickBot="1" x14ac:dyDescent="0.45">
      <c r="A50" s="199"/>
      <c r="B50" s="46">
        <f t="shared" si="1"/>
        <v>47</v>
      </c>
      <c r="C50" s="124" t="s">
        <v>759</v>
      </c>
      <c r="D50" s="124" t="s">
        <v>286</v>
      </c>
      <c r="E50" s="123" t="s">
        <v>679</v>
      </c>
      <c r="F50" s="77" t="s">
        <v>573</v>
      </c>
      <c r="G50" s="158">
        <v>46120</v>
      </c>
    </row>
    <row r="51" spans="1:7" ht="40" customHeight="1" x14ac:dyDescent="0.4">
      <c r="A51" s="193" t="s">
        <v>535</v>
      </c>
      <c r="B51" s="51">
        <f t="shared" si="1"/>
        <v>48</v>
      </c>
      <c r="C51" s="148" t="s">
        <v>263</v>
      </c>
      <c r="D51" s="148" t="s">
        <v>537</v>
      </c>
      <c r="E51" s="149" t="s">
        <v>4</v>
      </c>
      <c r="F51" s="88" t="s">
        <v>538</v>
      </c>
    </row>
    <row r="52" spans="1:7" ht="40" customHeight="1" x14ac:dyDescent="0.4">
      <c r="A52" s="194"/>
      <c r="B52" s="43">
        <f t="shared" si="1"/>
        <v>49</v>
      </c>
      <c r="C52" s="146" t="s">
        <v>297</v>
      </c>
      <c r="D52" s="146" t="s">
        <v>242</v>
      </c>
      <c r="E52" s="147" t="s">
        <v>744</v>
      </c>
      <c r="F52" s="74" t="s">
        <v>574</v>
      </c>
    </row>
    <row r="53" spans="1:7" ht="40" customHeight="1" x14ac:dyDescent="0.4">
      <c r="A53" s="194"/>
      <c r="B53" s="43">
        <f t="shared" si="1"/>
        <v>50</v>
      </c>
      <c r="C53" s="146" t="s">
        <v>760</v>
      </c>
      <c r="D53" s="146" t="s">
        <v>299</v>
      </c>
      <c r="E53" s="147" t="s">
        <v>4</v>
      </c>
      <c r="F53" s="74" t="s">
        <v>574</v>
      </c>
      <c r="G53" s="158">
        <v>46120</v>
      </c>
    </row>
    <row r="54" spans="1:7" ht="40" customHeight="1" x14ac:dyDescent="0.4">
      <c r="A54" s="194"/>
      <c r="B54" s="43">
        <f t="shared" si="1"/>
        <v>51</v>
      </c>
      <c r="C54" s="146" t="s">
        <v>443</v>
      </c>
      <c r="D54" s="146" t="s">
        <v>300</v>
      </c>
      <c r="E54" s="147" t="s">
        <v>745</v>
      </c>
      <c r="F54" s="74" t="s">
        <v>574</v>
      </c>
    </row>
    <row r="55" spans="1:7" ht="40" customHeight="1" x14ac:dyDescent="0.4">
      <c r="A55" s="194"/>
      <c r="B55" s="43">
        <f t="shared" si="1"/>
        <v>52</v>
      </c>
      <c r="C55" s="146" t="s">
        <v>444</v>
      </c>
      <c r="D55" s="146" t="s">
        <v>301</v>
      </c>
      <c r="E55" s="147" t="s">
        <v>746</v>
      </c>
      <c r="F55" s="74" t="s">
        <v>574</v>
      </c>
    </row>
    <row r="56" spans="1:7" ht="40" customHeight="1" thickBot="1" x14ac:dyDescent="0.45">
      <c r="A56" s="199"/>
      <c r="B56" s="46">
        <f t="shared" si="1"/>
        <v>53</v>
      </c>
      <c r="C56" s="150" t="s">
        <v>298</v>
      </c>
      <c r="D56" s="150" t="s">
        <v>302</v>
      </c>
      <c r="E56" s="151" t="s">
        <v>747</v>
      </c>
      <c r="F56" s="76" t="s">
        <v>573</v>
      </c>
    </row>
    <row r="57" spans="1:7" s="32" customFormat="1" ht="40" customHeight="1" x14ac:dyDescent="0.4">
      <c r="A57" s="193" t="s">
        <v>536</v>
      </c>
      <c r="B57" s="51">
        <f t="shared" si="1"/>
        <v>54</v>
      </c>
      <c r="C57" s="136" t="s">
        <v>250</v>
      </c>
      <c r="D57" s="132" t="s">
        <v>251</v>
      </c>
      <c r="E57" s="133" t="s">
        <v>664</v>
      </c>
      <c r="F57" s="88" t="s">
        <v>153</v>
      </c>
    </row>
    <row r="58" spans="1:7" ht="40" customHeight="1" x14ac:dyDescent="0.4">
      <c r="A58" s="194"/>
      <c r="B58" s="43">
        <f t="shared" si="1"/>
        <v>55</v>
      </c>
      <c r="C58" s="121" t="s">
        <v>48</v>
      </c>
      <c r="D58" s="121" t="s">
        <v>149</v>
      </c>
      <c r="E58" s="120" t="s">
        <v>698</v>
      </c>
      <c r="F58" s="74" t="s">
        <v>575</v>
      </c>
    </row>
    <row r="59" spans="1:7" ht="40" customHeight="1" x14ac:dyDescent="0.4">
      <c r="A59" s="194"/>
      <c r="B59" s="43">
        <f t="shared" si="1"/>
        <v>56</v>
      </c>
      <c r="C59" s="121" t="s">
        <v>761</v>
      </c>
      <c r="D59" s="121" t="s">
        <v>150</v>
      </c>
      <c r="E59" s="120" t="s">
        <v>669</v>
      </c>
      <c r="F59" s="74" t="s">
        <v>575</v>
      </c>
      <c r="G59" s="158">
        <v>46120</v>
      </c>
    </row>
    <row r="60" spans="1:7" ht="40" customHeight="1" x14ac:dyDescent="0.4">
      <c r="A60" s="194"/>
      <c r="B60" s="43">
        <f t="shared" si="1"/>
        <v>57</v>
      </c>
      <c r="C60" s="121" t="s">
        <v>445</v>
      </c>
      <c r="D60" s="121" t="s">
        <v>151</v>
      </c>
      <c r="E60" s="120" t="s">
        <v>698</v>
      </c>
      <c r="F60" s="74" t="s">
        <v>575</v>
      </c>
    </row>
    <row r="61" spans="1:7" ht="40" customHeight="1" x14ac:dyDescent="0.4">
      <c r="A61" s="194"/>
      <c r="B61" s="43">
        <f t="shared" si="1"/>
        <v>58</v>
      </c>
      <c r="C61" s="121" t="s">
        <v>446</v>
      </c>
      <c r="D61" s="121" t="s">
        <v>152</v>
      </c>
      <c r="E61" s="120" t="s">
        <v>664</v>
      </c>
      <c r="F61" s="74" t="s">
        <v>575</v>
      </c>
    </row>
    <row r="62" spans="1:7" ht="40" customHeight="1" thickBot="1" x14ac:dyDescent="0.45">
      <c r="A62" s="199"/>
      <c r="B62" s="46">
        <f t="shared" si="1"/>
        <v>59</v>
      </c>
      <c r="C62" s="124" t="s">
        <v>283</v>
      </c>
      <c r="D62" s="124" t="s">
        <v>284</v>
      </c>
      <c r="E62" s="123" t="s">
        <v>664</v>
      </c>
      <c r="F62" s="76" t="s">
        <v>573</v>
      </c>
    </row>
    <row r="63" spans="1:7" ht="40" customHeight="1" x14ac:dyDescent="0.4">
      <c r="A63" s="193" t="s">
        <v>543</v>
      </c>
      <c r="B63" s="51">
        <f t="shared" si="2"/>
        <v>60</v>
      </c>
      <c r="C63" s="142" t="s">
        <v>350</v>
      </c>
      <c r="D63" s="142" t="s">
        <v>799</v>
      </c>
      <c r="E63" s="143" t="s">
        <v>730</v>
      </c>
      <c r="F63" s="81" t="s">
        <v>540</v>
      </c>
    </row>
    <row r="64" spans="1:7" ht="40" customHeight="1" x14ac:dyDescent="0.4">
      <c r="A64" s="194"/>
      <c r="B64" s="43">
        <f t="shared" si="2"/>
        <v>61</v>
      </c>
      <c r="C64" s="140" t="s">
        <v>351</v>
      </c>
      <c r="D64" s="140" t="s">
        <v>294</v>
      </c>
      <c r="E64" s="141" t="s">
        <v>730</v>
      </c>
      <c r="F64" s="75" t="s">
        <v>541</v>
      </c>
    </row>
    <row r="65" spans="1:7" ht="40" customHeight="1" x14ac:dyDescent="0.4">
      <c r="A65" s="194"/>
      <c r="B65" s="43">
        <f t="shared" si="2"/>
        <v>62</v>
      </c>
      <c r="C65" s="140" t="s">
        <v>354</v>
      </c>
      <c r="D65" s="140" t="s">
        <v>741</v>
      </c>
      <c r="E65" s="141" t="s">
        <v>731</v>
      </c>
      <c r="F65" s="75" t="s">
        <v>542</v>
      </c>
    </row>
    <row r="66" spans="1:7" ht="40" customHeight="1" x14ac:dyDescent="0.4">
      <c r="A66" s="194"/>
      <c r="B66" s="43">
        <f t="shared" si="2"/>
        <v>63</v>
      </c>
      <c r="C66" s="140" t="s">
        <v>408</v>
      </c>
      <c r="D66" s="140" t="s">
        <v>407</v>
      </c>
      <c r="E66" s="141" t="s">
        <v>732</v>
      </c>
      <c r="F66" s="74" t="s">
        <v>311</v>
      </c>
      <c r="G66" s="37" t="s">
        <v>809</v>
      </c>
    </row>
    <row r="67" spans="1:7" ht="40" customHeight="1" thickBot="1" x14ac:dyDescent="0.45">
      <c r="A67" s="195"/>
      <c r="B67" s="89">
        <f t="shared" si="2"/>
        <v>64</v>
      </c>
      <c r="C67" s="144" t="s">
        <v>409</v>
      </c>
      <c r="D67" s="144" t="s">
        <v>310</v>
      </c>
      <c r="E67" s="145" t="s">
        <v>531</v>
      </c>
      <c r="F67" s="91" t="s">
        <v>312</v>
      </c>
      <c r="G67" s="37" t="s">
        <v>809</v>
      </c>
    </row>
    <row r="68" spans="1:7" ht="40" customHeight="1" x14ac:dyDescent="0.4">
      <c r="A68" s="196" t="s">
        <v>547</v>
      </c>
      <c r="B68" s="47">
        <f t="shared" si="1"/>
        <v>65</v>
      </c>
      <c r="C68" s="119" t="s">
        <v>347</v>
      </c>
      <c r="D68" s="119" t="s">
        <v>240</v>
      </c>
      <c r="E68" s="118" t="s">
        <v>680</v>
      </c>
      <c r="F68" s="73" t="s">
        <v>262</v>
      </c>
    </row>
    <row r="69" spans="1:7" ht="40" customHeight="1" x14ac:dyDescent="0.4">
      <c r="A69" s="197"/>
      <c r="B69" s="40">
        <f t="shared" si="1"/>
        <v>66</v>
      </c>
      <c r="C69" s="121" t="s">
        <v>348</v>
      </c>
      <c r="D69" s="121" t="s">
        <v>156</v>
      </c>
      <c r="E69" s="120" t="s">
        <v>680</v>
      </c>
      <c r="F69" s="74" t="s">
        <v>544</v>
      </c>
    </row>
    <row r="70" spans="1:7" ht="40" customHeight="1" x14ac:dyDescent="0.4">
      <c r="A70" s="197"/>
      <c r="B70" s="40">
        <f t="shared" si="1"/>
        <v>67</v>
      </c>
      <c r="C70" s="121" t="s">
        <v>349</v>
      </c>
      <c r="D70" s="121" t="s">
        <v>157</v>
      </c>
      <c r="E70" s="120" t="s">
        <v>680</v>
      </c>
      <c r="F70" s="74" t="s">
        <v>545</v>
      </c>
    </row>
    <row r="71" spans="1:7" ht="40" customHeight="1" x14ac:dyDescent="0.4">
      <c r="A71" s="197"/>
      <c r="B71" s="40">
        <f t="shared" si="1"/>
        <v>68</v>
      </c>
      <c r="C71" s="121" t="s">
        <v>20</v>
      </c>
      <c r="D71" s="121" t="s">
        <v>19</v>
      </c>
      <c r="E71" s="120" t="s">
        <v>694</v>
      </c>
      <c r="F71" s="74" t="s">
        <v>322</v>
      </c>
    </row>
    <row r="72" spans="1:7" s="33" customFormat="1" ht="40" customHeight="1" x14ac:dyDescent="0.4">
      <c r="A72" s="197"/>
      <c r="B72" s="40">
        <f t="shared" si="1"/>
        <v>69</v>
      </c>
      <c r="C72" s="121" t="s">
        <v>21</v>
      </c>
      <c r="D72" s="121" t="s">
        <v>22</v>
      </c>
      <c r="E72" s="120" t="s">
        <v>680</v>
      </c>
      <c r="F72" s="74" t="s">
        <v>546</v>
      </c>
    </row>
    <row r="73" spans="1:7" s="37" customFormat="1" ht="40" customHeight="1" x14ac:dyDescent="0.4">
      <c r="A73" s="197"/>
      <c r="B73" s="40">
        <f t="shared" si="1"/>
        <v>70</v>
      </c>
      <c r="C73" s="121" t="s">
        <v>411</v>
      </c>
      <c r="D73" s="121" t="s">
        <v>412</v>
      </c>
      <c r="E73" s="120" t="s">
        <v>680</v>
      </c>
      <c r="F73" s="75" t="s">
        <v>810</v>
      </c>
      <c r="G73" s="37" t="s">
        <v>809</v>
      </c>
    </row>
    <row r="74" spans="1:7" s="37" customFormat="1" ht="40" customHeight="1" x14ac:dyDescent="0.4">
      <c r="A74" s="197"/>
      <c r="B74" s="40">
        <f t="shared" si="1"/>
        <v>71</v>
      </c>
      <c r="C74" s="121" t="s">
        <v>410</v>
      </c>
      <c r="D74" s="121" t="s">
        <v>308</v>
      </c>
      <c r="E74" s="120" t="s">
        <v>680</v>
      </c>
      <c r="F74" s="75" t="s">
        <v>811</v>
      </c>
      <c r="G74" s="37" t="s">
        <v>809</v>
      </c>
    </row>
    <row r="75" spans="1:7" ht="56.5" customHeight="1" x14ac:dyDescent="0.4">
      <c r="A75" s="197"/>
      <c r="B75" s="40">
        <f t="shared" si="0"/>
        <v>72</v>
      </c>
      <c r="C75" s="121" t="s">
        <v>81</v>
      </c>
      <c r="D75" s="121" t="s">
        <v>223</v>
      </c>
      <c r="E75" s="120" t="s">
        <v>664</v>
      </c>
      <c r="F75" s="75" t="s">
        <v>514</v>
      </c>
    </row>
    <row r="76" spans="1:7" ht="55" customHeight="1" thickBot="1" x14ac:dyDescent="0.45">
      <c r="A76" s="198"/>
      <c r="B76" s="44">
        <v>7</v>
      </c>
      <c r="C76" s="124" t="s">
        <v>79</v>
      </c>
      <c r="D76" s="124" t="s">
        <v>222</v>
      </c>
      <c r="E76" s="123" t="s">
        <v>700</v>
      </c>
      <c r="F76" s="77" t="s">
        <v>432</v>
      </c>
    </row>
    <row r="92" spans="1:6" s="29" customFormat="1" ht="40" customHeight="1" x14ac:dyDescent="0.4">
      <c r="A92" s="87" t="s">
        <v>199</v>
      </c>
      <c r="B92" s="54">
        <f t="shared" si="2"/>
        <v>89</v>
      </c>
      <c r="C92" s="63" t="s">
        <v>288</v>
      </c>
      <c r="D92" s="63" t="s">
        <v>394</v>
      </c>
      <c r="E92" s="63" t="s">
        <v>4</v>
      </c>
      <c r="F92" s="63" t="s">
        <v>395</v>
      </c>
    </row>
    <row r="93" spans="1:6" s="29" customFormat="1" ht="40" customHeight="1" x14ac:dyDescent="0.4">
      <c r="A93" s="87"/>
      <c r="B93" s="54">
        <f t="shared" si="2"/>
        <v>90</v>
      </c>
      <c r="C93" s="63" t="s">
        <v>396</v>
      </c>
      <c r="D93" s="63" t="s">
        <v>397</v>
      </c>
      <c r="E93" s="63" t="s">
        <v>4</v>
      </c>
      <c r="F93" s="63" t="s">
        <v>395</v>
      </c>
    </row>
    <row r="94" spans="1:6" s="29" customFormat="1" ht="40" customHeight="1" x14ac:dyDescent="0.4">
      <c r="A94" s="87"/>
      <c r="B94" s="54">
        <f t="shared" si="2"/>
        <v>91</v>
      </c>
      <c r="C94" s="63" t="s">
        <v>398</v>
      </c>
      <c r="D94" s="63" t="s">
        <v>399</v>
      </c>
      <c r="E94" s="63" t="s">
        <v>4</v>
      </c>
      <c r="F94" s="63" t="s">
        <v>395</v>
      </c>
    </row>
  </sheetData>
  <mergeCells count="15">
    <mergeCell ref="A17:A35"/>
    <mergeCell ref="A57:A62"/>
    <mergeCell ref="A1:F1"/>
    <mergeCell ref="A4:A11"/>
    <mergeCell ref="A12:A16"/>
    <mergeCell ref="A36:A38"/>
    <mergeCell ref="A2:A3"/>
    <mergeCell ref="F2:F3"/>
    <mergeCell ref="B2:B3"/>
    <mergeCell ref="E2:E3"/>
    <mergeCell ref="A63:A67"/>
    <mergeCell ref="A68:A76"/>
    <mergeCell ref="A39:A44"/>
    <mergeCell ref="A45:A50"/>
    <mergeCell ref="A51:A56"/>
  </mergeCells>
  <phoneticPr fontId="1" type="noConversion"/>
  <printOptions horizontalCentered="1"/>
  <pageMargins left="0" right="0" top="0.59055118110236227" bottom="0" header="0.31496062992125984" footer="0.31496062992125984"/>
  <pageSetup paperSize="9" scale="6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65"/>
  <sheetViews>
    <sheetView zoomScale="70" zoomScaleNormal="70" workbookViewId="0">
      <selection sqref="A1:F1"/>
    </sheetView>
  </sheetViews>
  <sheetFormatPr defaultRowHeight="21.5" x14ac:dyDescent="0.4"/>
  <cols>
    <col min="1" max="1" width="14" style="95" customWidth="1"/>
    <col min="2" max="2" width="7.453125" style="14" customWidth="1"/>
    <col min="3" max="3" width="41.81640625" style="14" customWidth="1"/>
    <col min="4" max="4" width="45.6328125" style="14" customWidth="1"/>
    <col min="5" max="5" width="26.81640625" style="21" customWidth="1"/>
    <col min="6" max="6" width="61" style="14" customWidth="1"/>
    <col min="7" max="16384" width="8.7265625" style="14"/>
  </cols>
  <sheetData>
    <row r="1" spans="1:6" ht="178" customHeight="1" thickBot="1" x14ac:dyDescent="0.45">
      <c r="A1" s="200" t="s">
        <v>816</v>
      </c>
      <c r="B1" s="200"/>
      <c r="C1" s="200"/>
      <c r="D1" s="200"/>
      <c r="E1" s="200"/>
      <c r="F1" s="200"/>
    </row>
    <row r="2" spans="1:6" ht="61.5" customHeight="1" x14ac:dyDescent="0.4">
      <c r="A2" s="211" t="s">
        <v>170</v>
      </c>
      <c r="B2" s="224" t="s">
        <v>49</v>
      </c>
      <c r="C2" s="12" t="s">
        <v>237</v>
      </c>
      <c r="D2" s="13" t="s">
        <v>549</v>
      </c>
      <c r="E2" s="226" t="s">
        <v>1</v>
      </c>
      <c r="F2" s="228" t="s">
        <v>18</v>
      </c>
    </row>
    <row r="3" spans="1:6" ht="40" customHeight="1" thickBot="1" x14ac:dyDescent="0.45">
      <c r="A3" s="212"/>
      <c r="B3" s="225"/>
      <c r="C3" s="92" t="s">
        <v>3</v>
      </c>
      <c r="D3" s="93" t="s">
        <v>2</v>
      </c>
      <c r="E3" s="227"/>
      <c r="F3" s="229"/>
    </row>
    <row r="4" spans="1:6" ht="108" customHeight="1" x14ac:dyDescent="0.4">
      <c r="A4" s="211" t="s">
        <v>171</v>
      </c>
      <c r="B4" s="47">
        <f>ROW()-ROW($B$3)</f>
        <v>1</v>
      </c>
      <c r="C4" s="72" t="s">
        <v>248</v>
      </c>
      <c r="D4" s="48" t="s">
        <v>236</v>
      </c>
      <c r="E4" s="49" t="s">
        <v>701</v>
      </c>
      <c r="F4" s="73" t="s">
        <v>554</v>
      </c>
    </row>
    <row r="5" spans="1:6" ht="40" customHeight="1" x14ac:dyDescent="0.4">
      <c r="A5" s="213"/>
      <c r="B5" s="40">
        <f t="shared" ref="B5:B40" si="0">ROW()-ROW($B$3)</f>
        <v>2</v>
      </c>
      <c r="C5" s="121" t="s">
        <v>356</v>
      </c>
      <c r="D5" s="128" t="s">
        <v>6</v>
      </c>
      <c r="E5" s="129" t="s">
        <v>664</v>
      </c>
      <c r="F5" s="74" t="s">
        <v>567</v>
      </c>
    </row>
    <row r="6" spans="1:6" ht="40" customHeight="1" x14ac:dyDescent="0.4">
      <c r="A6" s="213"/>
      <c r="B6" s="40">
        <f t="shared" si="0"/>
        <v>3</v>
      </c>
      <c r="C6" s="121" t="s">
        <v>358</v>
      </c>
      <c r="D6" s="128" t="s">
        <v>555</v>
      </c>
      <c r="E6" s="129" t="s">
        <v>673</v>
      </c>
      <c r="F6" s="74" t="s">
        <v>556</v>
      </c>
    </row>
    <row r="7" spans="1:6" ht="40" customHeight="1" x14ac:dyDescent="0.4">
      <c r="A7" s="213"/>
      <c r="B7" s="40">
        <v>6</v>
      </c>
      <c r="C7" s="121" t="s">
        <v>359</v>
      </c>
      <c r="D7" s="128" t="s">
        <v>557</v>
      </c>
      <c r="E7" s="129" t="s">
        <v>673</v>
      </c>
      <c r="F7" s="75" t="s">
        <v>239</v>
      </c>
    </row>
    <row r="8" spans="1:6" ht="40" customHeight="1" x14ac:dyDescent="0.4">
      <c r="A8" s="213"/>
      <c r="B8" s="40">
        <f t="shared" si="0"/>
        <v>5</v>
      </c>
      <c r="C8" s="121" t="s">
        <v>330</v>
      </c>
      <c r="D8" s="121" t="s">
        <v>107</v>
      </c>
      <c r="E8" s="120" t="s">
        <v>690</v>
      </c>
      <c r="F8" s="74" t="s">
        <v>567</v>
      </c>
    </row>
    <row r="9" spans="1:6" ht="40" customHeight="1" x14ac:dyDescent="0.4">
      <c r="A9" s="213"/>
      <c r="B9" s="40">
        <v>7</v>
      </c>
      <c r="C9" s="41" t="s">
        <v>360</v>
      </c>
      <c r="D9" s="50" t="s">
        <v>231</v>
      </c>
      <c r="E9" s="42" t="s">
        <v>702</v>
      </c>
      <c r="F9" s="74" t="s">
        <v>567</v>
      </c>
    </row>
    <row r="10" spans="1:6" ht="40" customHeight="1" x14ac:dyDescent="0.4">
      <c r="A10" s="213"/>
      <c r="B10" s="40">
        <f t="shared" si="0"/>
        <v>7</v>
      </c>
      <c r="C10" s="41" t="s">
        <v>371</v>
      </c>
      <c r="D10" s="41" t="s">
        <v>108</v>
      </c>
      <c r="E10" s="43" t="s">
        <v>67</v>
      </c>
      <c r="F10" s="74" t="s">
        <v>567</v>
      </c>
    </row>
    <row r="11" spans="1:6" ht="40" customHeight="1" x14ac:dyDescent="0.4">
      <c r="A11" s="213"/>
      <c r="B11" s="40">
        <f t="shared" si="0"/>
        <v>8</v>
      </c>
      <c r="C11" s="41" t="s">
        <v>355</v>
      </c>
      <c r="D11" s="50" t="s">
        <v>5</v>
      </c>
      <c r="E11" s="42" t="s">
        <v>701</v>
      </c>
      <c r="F11" s="75" t="s">
        <v>518</v>
      </c>
    </row>
    <row r="12" spans="1:6" ht="50.5" customHeight="1" x14ac:dyDescent="0.4">
      <c r="A12" s="213"/>
      <c r="B12" s="40">
        <f t="shared" si="0"/>
        <v>9</v>
      </c>
      <c r="C12" s="41" t="s">
        <v>140</v>
      </c>
      <c r="D12" s="41" t="s">
        <v>141</v>
      </c>
      <c r="E12" s="42" t="s">
        <v>9</v>
      </c>
      <c r="F12" s="75" t="s">
        <v>519</v>
      </c>
    </row>
    <row r="13" spans="1:6" ht="40" customHeight="1" thickBot="1" x14ac:dyDescent="0.45">
      <c r="A13" s="214"/>
      <c r="B13" s="44">
        <f t="shared" si="0"/>
        <v>10</v>
      </c>
      <c r="C13" s="124" t="s">
        <v>357</v>
      </c>
      <c r="D13" s="131" t="s">
        <v>7</v>
      </c>
      <c r="E13" s="123" t="s">
        <v>676</v>
      </c>
      <c r="F13" s="76" t="s">
        <v>520</v>
      </c>
    </row>
    <row r="14" spans="1:6" ht="40" customHeight="1" x14ac:dyDescent="0.4">
      <c r="A14" s="215" t="s">
        <v>657</v>
      </c>
      <c r="B14" s="53">
        <f t="shared" si="0"/>
        <v>11</v>
      </c>
      <c r="C14" s="132" t="s">
        <v>10</v>
      </c>
      <c r="D14" s="132" t="s">
        <v>11</v>
      </c>
      <c r="E14" s="133" t="s">
        <v>703</v>
      </c>
      <c r="F14" s="81" t="s">
        <v>522</v>
      </c>
    </row>
    <row r="15" spans="1:6" ht="71" customHeight="1" thickBot="1" x14ac:dyDescent="0.45">
      <c r="A15" s="214"/>
      <c r="B15" s="44"/>
      <c r="C15" s="124" t="s">
        <v>559</v>
      </c>
      <c r="D15" s="124" t="s">
        <v>560</v>
      </c>
      <c r="E15" s="123" t="s">
        <v>676</v>
      </c>
      <c r="F15" s="77" t="s">
        <v>561</v>
      </c>
    </row>
    <row r="16" spans="1:6" ht="40" customHeight="1" x14ac:dyDescent="0.4">
      <c r="A16" s="216" t="s">
        <v>563</v>
      </c>
      <c r="B16" s="53">
        <f t="shared" si="0"/>
        <v>13</v>
      </c>
      <c r="C16" s="52" t="s">
        <v>116</v>
      </c>
      <c r="D16" s="52" t="s">
        <v>117</v>
      </c>
      <c r="E16" s="51" t="s">
        <v>4</v>
      </c>
      <c r="F16" s="88"/>
    </row>
    <row r="17" spans="1:7" ht="40" customHeight="1" x14ac:dyDescent="0.4">
      <c r="A17" s="217"/>
      <c r="B17" s="40">
        <f t="shared" si="0"/>
        <v>14</v>
      </c>
      <c r="C17" s="41" t="s">
        <v>228</v>
      </c>
      <c r="D17" s="41" t="s">
        <v>229</v>
      </c>
      <c r="E17" s="43" t="s">
        <v>230</v>
      </c>
      <c r="F17" s="74"/>
    </row>
    <row r="18" spans="1:7" ht="40" customHeight="1" x14ac:dyDescent="0.4">
      <c r="A18" s="217"/>
      <c r="B18" s="40">
        <f t="shared" si="0"/>
        <v>15</v>
      </c>
      <c r="C18" s="41" t="s">
        <v>103</v>
      </c>
      <c r="D18" s="41" t="s">
        <v>104</v>
      </c>
      <c r="E18" s="43" t="s">
        <v>106</v>
      </c>
      <c r="F18" s="74"/>
    </row>
    <row r="19" spans="1:7" s="23" customFormat="1" ht="40" customHeight="1" thickBot="1" x14ac:dyDescent="0.45">
      <c r="A19" s="218"/>
      <c r="B19" s="44">
        <f t="shared" si="0"/>
        <v>16</v>
      </c>
      <c r="C19" s="45" t="s">
        <v>224</v>
      </c>
      <c r="D19" s="45" t="s">
        <v>225</v>
      </c>
      <c r="E19" s="46" t="s">
        <v>704</v>
      </c>
      <c r="F19" s="76" t="s">
        <v>226</v>
      </c>
    </row>
    <row r="20" spans="1:7" s="23" customFormat="1" ht="40" customHeight="1" thickBot="1" x14ac:dyDescent="0.45">
      <c r="A20" s="99" t="s">
        <v>564</v>
      </c>
      <c r="B20" s="53">
        <f t="shared" si="0"/>
        <v>17</v>
      </c>
      <c r="C20" s="52" t="s">
        <v>200</v>
      </c>
      <c r="D20" s="52" t="s">
        <v>201</v>
      </c>
      <c r="E20" s="51" t="s">
        <v>729</v>
      </c>
      <c r="F20" s="88"/>
    </row>
    <row r="21" spans="1:7" ht="40" customHeight="1" thickBot="1" x14ac:dyDescent="0.45">
      <c r="A21" s="98" t="s">
        <v>482</v>
      </c>
      <c r="B21" s="40">
        <f t="shared" si="0"/>
        <v>18</v>
      </c>
      <c r="C21" s="222" t="s">
        <v>565</v>
      </c>
      <c r="D21" s="222"/>
      <c r="E21" s="222"/>
      <c r="F21" s="223"/>
    </row>
    <row r="22" spans="1:7" ht="40" customHeight="1" x14ac:dyDescent="0.4">
      <c r="A22" s="117" t="s">
        <v>564</v>
      </c>
      <c r="B22" s="40">
        <f t="shared" si="0"/>
        <v>19</v>
      </c>
      <c r="C22" s="41" t="s">
        <v>361</v>
      </c>
      <c r="D22" s="41" t="s">
        <v>99</v>
      </c>
      <c r="E22" s="43" t="s">
        <v>733</v>
      </c>
      <c r="F22" s="75" t="s">
        <v>566</v>
      </c>
    </row>
    <row r="23" spans="1:7" ht="40" customHeight="1" x14ac:dyDescent="0.4">
      <c r="A23" s="221" t="s">
        <v>734</v>
      </c>
      <c r="B23" s="40">
        <f t="shared" si="0"/>
        <v>20</v>
      </c>
      <c r="C23" s="41" t="s">
        <v>362</v>
      </c>
      <c r="D23" s="41" t="s">
        <v>100</v>
      </c>
      <c r="E23" s="43" t="s">
        <v>733</v>
      </c>
      <c r="F23" s="75" t="s">
        <v>566</v>
      </c>
    </row>
    <row r="24" spans="1:7" ht="40" customHeight="1" x14ac:dyDescent="0.4">
      <c r="A24" s="219"/>
      <c r="B24" s="40">
        <f t="shared" si="0"/>
        <v>21</v>
      </c>
      <c r="C24" s="41" t="s">
        <v>363</v>
      </c>
      <c r="D24" s="41" t="s">
        <v>101</v>
      </c>
      <c r="E24" s="43" t="s">
        <v>243</v>
      </c>
      <c r="F24" s="75" t="s">
        <v>566</v>
      </c>
    </row>
    <row r="25" spans="1:7" ht="40" customHeight="1" x14ac:dyDescent="0.4">
      <c r="A25" s="219"/>
      <c r="B25" s="40">
        <f t="shared" si="0"/>
        <v>22</v>
      </c>
      <c r="C25" s="41" t="s">
        <v>364</v>
      </c>
      <c r="D25" s="41" t="s">
        <v>102</v>
      </c>
      <c r="E25" s="43" t="s">
        <v>243</v>
      </c>
      <c r="F25" s="75" t="s">
        <v>566</v>
      </c>
    </row>
    <row r="26" spans="1:7" s="37" customFormat="1" ht="40" customHeight="1" x14ac:dyDescent="0.4">
      <c r="A26" s="219"/>
      <c r="B26" s="40"/>
      <c r="C26" s="41" t="s">
        <v>365</v>
      </c>
      <c r="D26" s="41" t="s">
        <v>309</v>
      </c>
      <c r="E26" s="43" t="s">
        <v>243</v>
      </c>
      <c r="F26" s="75" t="s">
        <v>566</v>
      </c>
    </row>
    <row r="27" spans="1:7" ht="40" customHeight="1" x14ac:dyDescent="0.4">
      <c r="A27" s="219"/>
      <c r="B27" s="40">
        <f t="shared" si="0"/>
        <v>24</v>
      </c>
      <c r="C27" s="41" t="s">
        <v>366</v>
      </c>
      <c r="D27" s="41" t="s">
        <v>105</v>
      </c>
      <c r="E27" s="43" t="s">
        <v>106</v>
      </c>
      <c r="F27" s="74" t="s">
        <v>567</v>
      </c>
    </row>
    <row r="28" spans="1:7" ht="40" customHeight="1" thickBot="1" x14ac:dyDescent="0.45">
      <c r="A28" s="220"/>
      <c r="B28" s="44">
        <f t="shared" si="0"/>
        <v>25</v>
      </c>
      <c r="C28" s="45" t="s">
        <v>367</v>
      </c>
      <c r="D28" s="45" t="s">
        <v>705</v>
      </c>
      <c r="E28" s="46" t="s">
        <v>704</v>
      </c>
      <c r="F28" s="76" t="s">
        <v>567</v>
      </c>
    </row>
    <row r="29" spans="1:7" ht="40" customHeight="1" x14ac:dyDescent="0.4">
      <c r="A29" s="219" t="s">
        <v>568</v>
      </c>
      <c r="B29" s="53">
        <f t="shared" si="0"/>
        <v>26</v>
      </c>
      <c r="C29" s="132" t="s">
        <v>82</v>
      </c>
      <c r="D29" s="132" t="s">
        <v>158</v>
      </c>
      <c r="E29" s="133" t="s">
        <v>663</v>
      </c>
      <c r="F29" s="88" t="s">
        <v>567</v>
      </c>
    </row>
    <row r="30" spans="1:7" ht="40" customHeight="1" x14ac:dyDescent="0.4">
      <c r="A30" s="219"/>
      <c r="B30" s="40">
        <f t="shared" si="0"/>
        <v>27</v>
      </c>
      <c r="C30" s="121" t="s">
        <v>83</v>
      </c>
      <c r="D30" s="121" t="s">
        <v>159</v>
      </c>
      <c r="E30" s="120" t="s">
        <v>663</v>
      </c>
      <c r="F30" s="74" t="s">
        <v>567</v>
      </c>
    </row>
    <row r="31" spans="1:7" ht="40" customHeight="1" x14ac:dyDescent="0.4">
      <c r="A31" s="219"/>
      <c r="B31" s="40">
        <f t="shared" si="0"/>
        <v>28</v>
      </c>
      <c r="C31" s="121" t="s">
        <v>762</v>
      </c>
      <c r="D31" s="121" t="s">
        <v>161</v>
      </c>
      <c r="E31" s="120" t="s">
        <v>663</v>
      </c>
      <c r="F31" s="74" t="s">
        <v>567</v>
      </c>
      <c r="G31" s="159">
        <v>46120</v>
      </c>
    </row>
    <row r="32" spans="1:7" ht="40" customHeight="1" x14ac:dyDescent="0.4">
      <c r="A32" s="219"/>
      <c r="B32" s="40">
        <f t="shared" si="0"/>
        <v>29</v>
      </c>
      <c r="C32" s="121" t="s">
        <v>763</v>
      </c>
      <c r="D32" s="121" t="s">
        <v>162</v>
      </c>
      <c r="E32" s="120" t="s">
        <v>663</v>
      </c>
      <c r="F32" s="74" t="s">
        <v>567</v>
      </c>
      <c r="G32" s="159">
        <v>46120</v>
      </c>
    </row>
    <row r="33" spans="1:7" ht="40" customHeight="1" x14ac:dyDescent="0.4">
      <c r="A33" s="219"/>
      <c r="B33" s="40">
        <f t="shared" si="0"/>
        <v>30</v>
      </c>
      <c r="C33" s="121" t="s">
        <v>764</v>
      </c>
      <c r="D33" s="121" t="s">
        <v>163</v>
      </c>
      <c r="E33" s="120" t="s">
        <v>663</v>
      </c>
      <c r="F33" s="74" t="s">
        <v>567</v>
      </c>
      <c r="G33" s="159">
        <v>46120</v>
      </c>
    </row>
    <row r="34" spans="1:7" ht="40" customHeight="1" thickBot="1" x14ac:dyDescent="0.45">
      <c r="A34" s="220"/>
      <c r="B34" s="44">
        <f t="shared" si="0"/>
        <v>31</v>
      </c>
      <c r="C34" s="124" t="s">
        <v>84</v>
      </c>
      <c r="D34" s="124" t="s">
        <v>160</v>
      </c>
      <c r="E34" s="123" t="s">
        <v>663</v>
      </c>
      <c r="F34" s="76" t="s">
        <v>567</v>
      </c>
    </row>
    <row r="35" spans="1:7" ht="96.5" customHeight="1" x14ac:dyDescent="0.4">
      <c r="A35" s="219" t="s">
        <v>706</v>
      </c>
      <c r="B35" s="53">
        <f t="shared" si="0"/>
        <v>32</v>
      </c>
      <c r="C35" s="132" t="s">
        <v>368</v>
      </c>
      <c r="D35" s="132" t="s">
        <v>164</v>
      </c>
      <c r="E35" s="133" t="s">
        <v>707</v>
      </c>
      <c r="F35" s="192" t="s">
        <v>751</v>
      </c>
    </row>
    <row r="36" spans="1:7" ht="40" customHeight="1" x14ac:dyDescent="0.4">
      <c r="A36" s="219"/>
      <c r="B36" s="40">
        <f t="shared" si="0"/>
        <v>33</v>
      </c>
      <c r="C36" s="121" t="s">
        <v>369</v>
      </c>
      <c r="D36" s="121" t="s">
        <v>165</v>
      </c>
      <c r="E36" s="120" t="s">
        <v>707</v>
      </c>
      <c r="F36" s="187"/>
      <c r="G36" s="159"/>
    </row>
    <row r="37" spans="1:7" ht="40" customHeight="1" x14ac:dyDescent="0.4">
      <c r="A37" s="219"/>
      <c r="B37" s="40">
        <f t="shared" si="0"/>
        <v>34</v>
      </c>
      <c r="C37" s="137" t="s">
        <v>771</v>
      </c>
      <c r="D37" s="121" t="s">
        <v>167</v>
      </c>
      <c r="E37" s="120" t="s">
        <v>707</v>
      </c>
      <c r="F37" s="187"/>
      <c r="G37" s="159">
        <v>46120</v>
      </c>
    </row>
    <row r="38" spans="1:7" ht="40" customHeight="1" x14ac:dyDescent="0.4">
      <c r="A38" s="219"/>
      <c r="B38" s="40">
        <f t="shared" si="0"/>
        <v>35</v>
      </c>
      <c r="C38" s="137" t="s">
        <v>770</v>
      </c>
      <c r="D38" s="121" t="s">
        <v>168</v>
      </c>
      <c r="E38" s="120" t="s">
        <v>707</v>
      </c>
      <c r="F38" s="187"/>
      <c r="G38" s="159">
        <v>46120</v>
      </c>
    </row>
    <row r="39" spans="1:7" ht="40" customHeight="1" x14ac:dyDescent="0.4">
      <c r="A39" s="219"/>
      <c r="B39" s="40">
        <f t="shared" si="0"/>
        <v>36</v>
      </c>
      <c r="C39" s="137" t="s">
        <v>769</v>
      </c>
      <c r="D39" s="121" t="s">
        <v>169</v>
      </c>
      <c r="E39" s="120" t="s">
        <v>708</v>
      </c>
      <c r="F39" s="187"/>
      <c r="G39" s="159">
        <v>46120</v>
      </c>
    </row>
    <row r="40" spans="1:7" ht="40" customHeight="1" thickBot="1" x14ac:dyDescent="0.45">
      <c r="A40" s="220"/>
      <c r="B40" s="44">
        <f t="shared" si="0"/>
        <v>37</v>
      </c>
      <c r="C40" s="124" t="s">
        <v>370</v>
      </c>
      <c r="D40" s="124" t="s">
        <v>166</v>
      </c>
      <c r="E40" s="123" t="s">
        <v>707</v>
      </c>
      <c r="F40" s="188"/>
    </row>
    <row r="43" spans="1:7" ht="40" customHeight="1" x14ac:dyDescent="0.4">
      <c r="A43" s="96"/>
      <c r="B43" s="15"/>
      <c r="C43" s="16"/>
      <c r="D43" s="22"/>
      <c r="E43" s="15"/>
      <c r="F43" s="9"/>
    </row>
    <row r="44" spans="1:7" ht="40" customHeight="1" x14ac:dyDescent="0.4">
      <c r="A44" s="96"/>
      <c r="B44" s="15"/>
      <c r="C44" s="16"/>
      <c r="D44" s="22"/>
      <c r="E44" s="15"/>
      <c r="F44" s="17"/>
    </row>
    <row r="45" spans="1:7" ht="40" customHeight="1" x14ac:dyDescent="0.4">
      <c r="A45" s="96"/>
      <c r="B45" s="15"/>
      <c r="C45" s="16"/>
      <c r="D45" s="22"/>
      <c r="E45" s="15"/>
      <c r="F45" s="17"/>
    </row>
    <row r="46" spans="1:7" ht="40" customHeight="1" x14ac:dyDescent="0.4">
      <c r="A46" s="96"/>
      <c r="B46" s="15"/>
      <c r="C46" s="16"/>
      <c r="D46" s="22"/>
      <c r="E46" s="15"/>
      <c r="F46" s="9"/>
    </row>
    <row r="47" spans="1:7" ht="40" customHeight="1" x14ac:dyDescent="0.4">
      <c r="A47" s="96"/>
      <c r="B47" s="15"/>
      <c r="C47" s="16"/>
      <c r="D47" s="22"/>
      <c r="E47" s="15"/>
      <c r="F47" s="9"/>
    </row>
    <row r="48" spans="1:7" ht="40" customHeight="1" x14ac:dyDescent="0.4">
      <c r="A48" s="96"/>
      <c r="B48" s="15"/>
      <c r="C48" s="16"/>
      <c r="D48" s="22"/>
      <c r="E48" s="15"/>
      <c r="F48" s="9"/>
    </row>
    <row r="49" spans="1:6" ht="40" customHeight="1" x14ac:dyDescent="0.4">
      <c r="A49" s="96"/>
      <c r="B49" s="15"/>
      <c r="C49" s="16"/>
      <c r="D49" s="22"/>
      <c r="E49" s="15"/>
      <c r="F49" s="9"/>
    </row>
    <row r="50" spans="1:6" ht="40" customHeight="1" x14ac:dyDescent="0.4">
      <c r="A50" s="96"/>
      <c r="B50" s="18"/>
      <c r="C50" s="19"/>
      <c r="D50" s="19"/>
      <c r="E50" s="18"/>
      <c r="F50" s="20"/>
    </row>
    <row r="51" spans="1:6" ht="40" customHeight="1" x14ac:dyDescent="0.4">
      <c r="A51" s="96"/>
      <c r="B51" s="18"/>
      <c r="C51" s="19"/>
      <c r="D51" s="19"/>
      <c r="E51" s="18"/>
      <c r="F51" s="20"/>
    </row>
    <row r="52" spans="1:6" ht="40" customHeight="1" x14ac:dyDescent="0.4">
      <c r="A52" s="96"/>
      <c r="B52" s="18"/>
      <c r="C52" s="19"/>
      <c r="D52" s="19"/>
      <c r="E52" s="18"/>
      <c r="F52" s="20"/>
    </row>
    <row r="53" spans="1:6" ht="40" customHeight="1" x14ac:dyDescent="0.4">
      <c r="A53" s="96"/>
      <c r="B53" s="18"/>
      <c r="C53" s="19"/>
      <c r="D53" s="19"/>
      <c r="E53" s="18"/>
      <c r="F53" s="20"/>
    </row>
    <row r="54" spans="1:6" ht="40" customHeight="1" x14ac:dyDescent="0.4">
      <c r="A54" s="96"/>
      <c r="B54" s="18"/>
      <c r="C54" s="19"/>
      <c r="D54" s="19"/>
      <c r="E54" s="18"/>
      <c r="F54" s="20"/>
    </row>
    <row r="55" spans="1:6" ht="40" customHeight="1" x14ac:dyDescent="0.4">
      <c r="A55" s="96"/>
      <c r="B55" s="18"/>
      <c r="C55" s="19"/>
      <c r="D55" s="19"/>
      <c r="E55" s="18"/>
      <c r="F55" s="20"/>
    </row>
    <row r="56" spans="1:6" ht="17" customHeight="1" x14ac:dyDescent="0.4">
      <c r="A56" s="96"/>
    </row>
    <row r="57" spans="1:6" ht="17" customHeight="1" x14ac:dyDescent="0.4">
      <c r="A57" s="96"/>
    </row>
    <row r="58" spans="1:6" ht="17" customHeight="1" x14ac:dyDescent="0.4">
      <c r="A58" s="96"/>
    </row>
    <row r="59" spans="1:6" ht="17" x14ac:dyDescent="0.4">
      <c r="A59" s="210"/>
      <c r="E59" s="14"/>
    </row>
    <row r="60" spans="1:6" ht="17" x14ac:dyDescent="0.4">
      <c r="A60" s="210"/>
      <c r="E60" s="14"/>
    </row>
    <row r="61" spans="1:6" ht="17" x14ac:dyDescent="0.4">
      <c r="A61" s="210"/>
      <c r="E61" s="14"/>
    </row>
    <row r="62" spans="1:6" ht="17" x14ac:dyDescent="0.4">
      <c r="A62" s="210"/>
      <c r="E62" s="14"/>
    </row>
    <row r="63" spans="1:6" ht="17" x14ac:dyDescent="0.4">
      <c r="A63" s="210"/>
      <c r="E63" s="14"/>
    </row>
    <row r="64" spans="1:6" ht="17" x14ac:dyDescent="0.4">
      <c r="A64" s="210"/>
      <c r="E64" s="14"/>
    </row>
    <row r="65" spans="1:5" ht="17" x14ac:dyDescent="0.4">
      <c r="A65" s="210"/>
      <c r="E65" s="14"/>
    </row>
  </sheetData>
  <mergeCells count="14">
    <mergeCell ref="A1:F1"/>
    <mergeCell ref="A59:A65"/>
    <mergeCell ref="A2:A3"/>
    <mergeCell ref="A4:A13"/>
    <mergeCell ref="A14:A15"/>
    <mergeCell ref="A16:A19"/>
    <mergeCell ref="A29:A34"/>
    <mergeCell ref="A35:A40"/>
    <mergeCell ref="A23:A28"/>
    <mergeCell ref="F35:F40"/>
    <mergeCell ref="C21:F21"/>
    <mergeCell ref="B2:B3"/>
    <mergeCell ref="E2:E3"/>
    <mergeCell ref="F2:F3"/>
  </mergeCells>
  <phoneticPr fontId="1" type="noConversion"/>
  <printOptions horizontalCentered="1"/>
  <pageMargins left="0" right="0" top="0.35433070866141736" bottom="0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J116"/>
  <sheetViews>
    <sheetView tabSelected="1" topLeftCell="A19" zoomScale="85" zoomScaleNormal="85" workbookViewId="0">
      <selection activeCell="F59" sqref="F59"/>
    </sheetView>
  </sheetViews>
  <sheetFormatPr defaultRowHeight="21.5" x14ac:dyDescent="0.4"/>
  <cols>
    <col min="1" max="1" width="14" style="28" customWidth="1"/>
    <col min="2" max="2" width="7.453125" style="14" customWidth="1"/>
    <col min="3" max="3" width="41.81640625" style="14" customWidth="1"/>
    <col min="4" max="4" width="45.6328125" style="14" customWidth="1"/>
    <col min="5" max="5" width="26.81640625" style="21" customWidth="1"/>
    <col min="6" max="6" width="66.08984375" style="14" customWidth="1"/>
    <col min="7" max="16384" width="8.7265625" style="14"/>
  </cols>
  <sheetData>
    <row r="1" spans="1:6" ht="144.5" customHeight="1" thickBot="1" x14ac:dyDescent="0.45">
      <c r="A1" s="200" t="s">
        <v>578</v>
      </c>
      <c r="B1" s="200"/>
      <c r="C1" s="200"/>
      <c r="D1" s="200"/>
      <c r="E1" s="200"/>
      <c r="F1" s="200"/>
    </row>
    <row r="2" spans="1:6" ht="61.5" customHeight="1" x14ac:dyDescent="0.4">
      <c r="A2" s="183" t="s">
        <v>174</v>
      </c>
      <c r="B2" s="226" t="s">
        <v>49</v>
      </c>
      <c r="C2" s="12" t="s">
        <v>296</v>
      </c>
      <c r="D2" s="13" t="s">
        <v>579</v>
      </c>
      <c r="E2" s="226" t="s">
        <v>1</v>
      </c>
      <c r="F2" s="228" t="s">
        <v>18</v>
      </c>
    </row>
    <row r="3" spans="1:6" ht="40" customHeight="1" thickBot="1" x14ac:dyDescent="0.45">
      <c r="A3" s="230"/>
      <c r="B3" s="227"/>
      <c r="C3" s="92" t="s">
        <v>3</v>
      </c>
      <c r="D3" s="93" t="s">
        <v>2</v>
      </c>
      <c r="E3" s="227"/>
      <c r="F3" s="229"/>
    </row>
    <row r="4" spans="1:6" ht="63.5" customHeight="1" x14ac:dyDescent="0.4">
      <c r="A4" s="183" t="s">
        <v>198</v>
      </c>
      <c r="B4" s="71">
        <f>ROW()-ROW($B$3)</f>
        <v>1</v>
      </c>
      <c r="C4" s="72" t="s">
        <v>580</v>
      </c>
      <c r="D4" s="48" t="s">
        <v>295</v>
      </c>
      <c r="E4" s="49" t="s">
        <v>8</v>
      </c>
      <c r="F4" s="73" t="s">
        <v>581</v>
      </c>
    </row>
    <row r="5" spans="1:6" ht="40" customHeight="1" x14ac:dyDescent="0.4">
      <c r="A5" s="184"/>
      <c r="B5" s="43">
        <f t="shared" ref="B5:B108" si="0">ROW()-ROW($B$3)</f>
        <v>2</v>
      </c>
      <c r="C5" s="121" t="s">
        <v>373</v>
      </c>
      <c r="D5" s="128" t="s">
        <v>6</v>
      </c>
      <c r="E5" s="129" t="s">
        <v>663</v>
      </c>
      <c r="F5" s="74" t="s">
        <v>618</v>
      </c>
    </row>
    <row r="6" spans="1:6" ht="40" customHeight="1" x14ac:dyDescent="0.4">
      <c r="A6" s="184"/>
      <c r="B6" s="43">
        <f t="shared" si="0"/>
        <v>3</v>
      </c>
      <c r="C6" s="121" t="s">
        <v>326</v>
      </c>
      <c r="D6" s="128" t="s">
        <v>582</v>
      </c>
      <c r="E6" s="129" t="s">
        <v>724</v>
      </c>
      <c r="F6" s="74" t="s">
        <v>583</v>
      </c>
    </row>
    <row r="7" spans="1:6" ht="40" customHeight="1" x14ac:dyDescent="0.4">
      <c r="A7" s="184"/>
      <c r="B7" s="43">
        <v>6</v>
      </c>
      <c r="C7" s="41" t="s">
        <v>360</v>
      </c>
      <c r="D7" s="50" t="s">
        <v>231</v>
      </c>
      <c r="E7" s="42" t="s">
        <v>232</v>
      </c>
      <c r="F7" s="74" t="s">
        <v>618</v>
      </c>
    </row>
    <row r="8" spans="1:6" ht="40" customHeight="1" x14ac:dyDescent="0.4">
      <c r="A8" s="184"/>
      <c r="B8" s="43">
        <f t="shared" si="0"/>
        <v>5</v>
      </c>
      <c r="C8" s="41" t="s">
        <v>371</v>
      </c>
      <c r="D8" s="41" t="s">
        <v>108</v>
      </c>
      <c r="E8" s="43" t="s">
        <v>4</v>
      </c>
      <c r="F8" s="74" t="s">
        <v>618</v>
      </c>
    </row>
    <row r="9" spans="1:6" ht="40" customHeight="1" x14ac:dyDescent="0.4">
      <c r="A9" s="184"/>
      <c r="B9" s="43">
        <f t="shared" si="0"/>
        <v>6</v>
      </c>
      <c r="C9" s="41" t="s">
        <v>372</v>
      </c>
      <c r="D9" s="50" t="s">
        <v>5</v>
      </c>
      <c r="E9" s="42" t="s">
        <v>9</v>
      </c>
      <c r="F9" s="75" t="s">
        <v>518</v>
      </c>
    </row>
    <row r="10" spans="1:6" ht="50.5" customHeight="1" x14ac:dyDescent="0.4">
      <c r="A10" s="184"/>
      <c r="B10" s="43">
        <f t="shared" si="0"/>
        <v>7</v>
      </c>
      <c r="C10" s="41" t="s">
        <v>140</v>
      </c>
      <c r="D10" s="41" t="s">
        <v>141</v>
      </c>
      <c r="E10" s="42" t="s">
        <v>9</v>
      </c>
      <c r="F10" s="75" t="s">
        <v>519</v>
      </c>
    </row>
    <row r="11" spans="1:6" ht="40" customHeight="1" thickBot="1" x14ac:dyDescent="0.45">
      <c r="A11" s="185"/>
      <c r="B11" s="46">
        <f t="shared" si="0"/>
        <v>8</v>
      </c>
      <c r="C11" s="124" t="s">
        <v>336</v>
      </c>
      <c r="D11" s="131" t="s">
        <v>7</v>
      </c>
      <c r="E11" s="123" t="s">
        <v>674</v>
      </c>
      <c r="F11" s="76" t="s">
        <v>520</v>
      </c>
    </row>
    <row r="12" spans="1:6" ht="40" customHeight="1" x14ac:dyDescent="0.4">
      <c r="A12" s="231" t="s">
        <v>658</v>
      </c>
      <c r="B12" s="51">
        <f t="shared" si="0"/>
        <v>9</v>
      </c>
      <c r="C12" s="132" t="s">
        <v>10</v>
      </c>
      <c r="D12" s="132" t="s">
        <v>11</v>
      </c>
      <c r="E12" s="133" t="s">
        <v>692</v>
      </c>
      <c r="F12" s="81" t="s">
        <v>522</v>
      </c>
    </row>
    <row r="13" spans="1:6" ht="40" customHeight="1" x14ac:dyDescent="0.4">
      <c r="A13" s="184"/>
      <c r="B13" s="43">
        <f t="shared" si="0"/>
        <v>10</v>
      </c>
      <c r="C13" s="121" t="s">
        <v>374</v>
      </c>
      <c r="D13" s="121" t="s">
        <v>175</v>
      </c>
      <c r="E13" s="120" t="s">
        <v>667</v>
      </c>
      <c r="F13" s="74" t="s">
        <v>176</v>
      </c>
    </row>
    <row r="14" spans="1:6" ht="40" customHeight="1" x14ac:dyDescent="0.4">
      <c r="A14" s="184"/>
      <c r="B14" s="43">
        <f t="shared" si="0"/>
        <v>11</v>
      </c>
      <c r="C14" s="121" t="s">
        <v>375</v>
      </c>
      <c r="D14" s="121" t="s">
        <v>177</v>
      </c>
      <c r="E14" s="120" t="s">
        <v>667</v>
      </c>
      <c r="F14" s="74" t="s">
        <v>176</v>
      </c>
    </row>
    <row r="15" spans="1:6" s="29" customFormat="1" ht="40" customHeight="1" thickBot="1" x14ac:dyDescent="0.45">
      <c r="A15" s="185"/>
      <c r="B15" s="46">
        <f t="shared" si="0"/>
        <v>12</v>
      </c>
      <c r="C15" s="124" t="s">
        <v>376</v>
      </c>
      <c r="D15" s="124" t="s">
        <v>233</v>
      </c>
      <c r="E15" s="123" t="s">
        <v>708</v>
      </c>
      <c r="F15" s="76" t="s">
        <v>584</v>
      </c>
    </row>
    <row r="16" spans="1:6" ht="40" customHeight="1" x14ac:dyDescent="0.4">
      <c r="A16" s="239" t="s">
        <v>659</v>
      </c>
      <c r="B16" s="105">
        <f t="shared" si="0"/>
        <v>13</v>
      </c>
      <c r="C16" s="119" t="s">
        <v>585</v>
      </c>
      <c r="D16" s="119" t="s">
        <v>586</v>
      </c>
      <c r="E16" s="127" t="s">
        <v>666</v>
      </c>
      <c r="F16" s="73" t="s">
        <v>587</v>
      </c>
    </row>
    <row r="17" spans="1:6" s="62" customFormat="1" ht="40" customHeight="1" thickBot="1" x14ac:dyDescent="0.45">
      <c r="A17" s="240"/>
      <c r="B17" s="110">
        <f t="shared" si="0"/>
        <v>14</v>
      </c>
      <c r="C17" s="134" t="s">
        <v>588</v>
      </c>
      <c r="D17" s="134" t="s">
        <v>589</v>
      </c>
      <c r="E17" s="135" t="s">
        <v>664</v>
      </c>
      <c r="F17" s="91" t="s">
        <v>618</v>
      </c>
    </row>
    <row r="18" spans="1:6" ht="40" customHeight="1" x14ac:dyDescent="0.4">
      <c r="A18" s="233" t="s">
        <v>660</v>
      </c>
      <c r="B18" s="107">
        <f t="shared" si="0"/>
        <v>15</v>
      </c>
      <c r="C18" s="72" t="s">
        <v>246</v>
      </c>
      <c r="D18" s="72" t="s">
        <v>247</v>
      </c>
      <c r="E18" s="107" t="s">
        <v>243</v>
      </c>
      <c r="F18" s="78" t="s">
        <v>244</v>
      </c>
    </row>
    <row r="19" spans="1:6" ht="40" customHeight="1" x14ac:dyDescent="0.4">
      <c r="A19" s="234"/>
      <c r="B19" s="97">
        <f t="shared" si="0"/>
        <v>16</v>
      </c>
      <c r="C19" s="121" t="s">
        <v>64</v>
      </c>
      <c r="D19" s="121" t="s">
        <v>65</v>
      </c>
      <c r="E19" s="120" t="s">
        <v>663</v>
      </c>
      <c r="F19" s="74" t="s">
        <v>618</v>
      </c>
    </row>
    <row r="20" spans="1:6" ht="40" customHeight="1" x14ac:dyDescent="0.4">
      <c r="A20" s="234"/>
      <c r="B20" s="97">
        <f t="shared" si="0"/>
        <v>17</v>
      </c>
      <c r="C20" s="121" t="s">
        <v>61</v>
      </c>
      <c r="D20" s="121" t="s">
        <v>62</v>
      </c>
      <c r="E20" s="120" t="s">
        <v>709</v>
      </c>
      <c r="F20" s="74" t="s">
        <v>618</v>
      </c>
    </row>
    <row r="21" spans="1:6" ht="40" customHeight="1" x14ac:dyDescent="0.4">
      <c r="A21" s="234"/>
      <c r="B21" s="97">
        <f t="shared" si="0"/>
        <v>18</v>
      </c>
      <c r="C21" s="41" t="s">
        <v>184</v>
      </c>
      <c r="D21" s="41" t="s">
        <v>182</v>
      </c>
      <c r="E21" s="97" t="s">
        <v>67</v>
      </c>
      <c r="F21" s="74" t="s">
        <v>618</v>
      </c>
    </row>
    <row r="22" spans="1:6" ht="40" customHeight="1" x14ac:dyDescent="0.4">
      <c r="A22" s="234"/>
      <c r="B22" s="97">
        <f t="shared" si="0"/>
        <v>19</v>
      </c>
      <c r="C22" s="41" t="s">
        <v>186</v>
      </c>
      <c r="D22" s="41" t="s">
        <v>644</v>
      </c>
      <c r="E22" s="97" t="s">
        <v>4</v>
      </c>
      <c r="F22" s="74" t="s">
        <v>618</v>
      </c>
    </row>
    <row r="23" spans="1:6" ht="40" customHeight="1" x14ac:dyDescent="0.4">
      <c r="A23" s="234"/>
      <c r="B23" s="97">
        <f t="shared" si="0"/>
        <v>20</v>
      </c>
      <c r="C23" s="41" t="s">
        <v>185</v>
      </c>
      <c r="D23" s="41" t="s">
        <v>178</v>
      </c>
      <c r="E23" s="97" t="s">
        <v>67</v>
      </c>
      <c r="F23" s="74" t="s">
        <v>618</v>
      </c>
    </row>
    <row r="24" spans="1:6" ht="40" customHeight="1" x14ac:dyDescent="0.4">
      <c r="A24" s="234"/>
      <c r="B24" s="97">
        <f t="shared" si="0"/>
        <v>21</v>
      </c>
      <c r="C24" s="41" t="s">
        <v>405</v>
      </c>
      <c r="D24" s="41" t="s">
        <v>403</v>
      </c>
      <c r="E24" s="97" t="s">
        <v>4</v>
      </c>
      <c r="F24" s="74" t="s">
        <v>618</v>
      </c>
    </row>
    <row r="25" spans="1:6" ht="40" customHeight="1" x14ac:dyDescent="0.4">
      <c r="A25" s="234"/>
      <c r="B25" s="97">
        <f t="shared" si="0"/>
        <v>22</v>
      </c>
      <c r="C25" s="41" t="s">
        <v>402</v>
      </c>
      <c r="D25" s="41" t="s">
        <v>433</v>
      </c>
      <c r="E25" s="97" t="s">
        <v>4</v>
      </c>
      <c r="F25" s="74" t="s">
        <v>618</v>
      </c>
    </row>
    <row r="26" spans="1:6" ht="40" customHeight="1" x14ac:dyDescent="0.4">
      <c r="A26" s="234"/>
      <c r="B26" s="97">
        <f t="shared" si="0"/>
        <v>23</v>
      </c>
      <c r="C26" s="41" t="s">
        <v>187</v>
      </c>
      <c r="D26" s="41" t="s">
        <v>643</v>
      </c>
      <c r="E26" s="97" t="s">
        <v>4</v>
      </c>
      <c r="F26" s="74" t="s">
        <v>618</v>
      </c>
    </row>
    <row r="27" spans="1:6" ht="40" customHeight="1" x14ac:dyDescent="0.4">
      <c r="A27" s="234"/>
      <c r="B27" s="97">
        <f t="shared" si="0"/>
        <v>24</v>
      </c>
      <c r="C27" s="41" t="s">
        <v>404</v>
      </c>
      <c r="D27" s="41" t="s">
        <v>406</v>
      </c>
      <c r="E27" s="97" t="s">
        <v>4</v>
      </c>
      <c r="F27" s="74" t="s">
        <v>618</v>
      </c>
    </row>
    <row r="28" spans="1:6" ht="40" customHeight="1" thickBot="1" x14ac:dyDescent="0.45">
      <c r="A28" s="235"/>
      <c r="B28" s="46">
        <f t="shared" si="0"/>
        <v>25</v>
      </c>
      <c r="C28" s="124" t="s">
        <v>591</v>
      </c>
      <c r="D28" s="124" t="s">
        <v>227</v>
      </c>
      <c r="E28" s="123" t="s">
        <v>663</v>
      </c>
      <c r="F28" s="76" t="s">
        <v>618</v>
      </c>
    </row>
    <row r="29" spans="1:6" ht="40" customHeight="1" x14ac:dyDescent="0.4">
      <c r="A29" s="183" t="s">
        <v>593</v>
      </c>
      <c r="B29" s="71">
        <f t="shared" si="0"/>
        <v>26</v>
      </c>
      <c r="C29" s="72" t="s">
        <v>461</v>
      </c>
      <c r="D29" s="72" t="s">
        <v>462</v>
      </c>
      <c r="E29" s="71" t="s">
        <v>687</v>
      </c>
      <c r="F29" s="78" t="s">
        <v>618</v>
      </c>
    </row>
    <row r="30" spans="1:6" ht="40" customHeight="1" x14ac:dyDescent="0.4">
      <c r="A30" s="184"/>
      <c r="B30" s="43">
        <f t="shared" si="0"/>
        <v>27</v>
      </c>
      <c r="C30" s="41" t="s">
        <v>464</v>
      </c>
      <c r="D30" s="41" t="s">
        <v>463</v>
      </c>
      <c r="E30" s="43" t="s">
        <v>4</v>
      </c>
      <c r="F30" s="74" t="s">
        <v>618</v>
      </c>
    </row>
    <row r="31" spans="1:6" ht="40" customHeight="1" x14ac:dyDescent="0.4">
      <c r="A31" s="184"/>
      <c r="B31" s="43">
        <f t="shared" si="0"/>
        <v>28</v>
      </c>
      <c r="C31" s="41" t="s">
        <v>465</v>
      </c>
      <c r="D31" s="41" t="s">
        <v>463</v>
      </c>
      <c r="E31" s="43" t="s">
        <v>4</v>
      </c>
      <c r="F31" s="74" t="s">
        <v>618</v>
      </c>
    </row>
    <row r="32" spans="1:6" ht="40" customHeight="1" thickBot="1" x14ac:dyDescent="0.45">
      <c r="A32" s="185"/>
      <c r="B32" s="46">
        <f t="shared" si="0"/>
        <v>29</v>
      </c>
      <c r="C32" s="45" t="s">
        <v>466</v>
      </c>
      <c r="D32" s="45" t="s">
        <v>467</v>
      </c>
      <c r="E32" s="46" t="s">
        <v>4</v>
      </c>
      <c r="F32" s="76" t="s">
        <v>618</v>
      </c>
    </row>
    <row r="33" spans="1:7" ht="40" customHeight="1" x14ac:dyDescent="0.4">
      <c r="A33" s="183" t="s">
        <v>594</v>
      </c>
      <c r="B33" s="71">
        <f t="shared" si="0"/>
        <v>30</v>
      </c>
      <c r="C33" s="72" t="s">
        <v>461</v>
      </c>
      <c r="D33" s="72" t="s">
        <v>462</v>
      </c>
      <c r="E33" s="71" t="s">
        <v>4</v>
      </c>
      <c r="F33" s="78" t="s">
        <v>618</v>
      </c>
    </row>
    <row r="34" spans="1:7" ht="40" customHeight="1" x14ac:dyDescent="0.4">
      <c r="A34" s="184"/>
      <c r="B34" s="43">
        <f t="shared" si="0"/>
        <v>31</v>
      </c>
      <c r="C34" s="41" t="s">
        <v>464</v>
      </c>
      <c r="D34" s="41" t="s">
        <v>463</v>
      </c>
      <c r="E34" s="43" t="s">
        <v>4</v>
      </c>
      <c r="F34" s="74" t="s">
        <v>618</v>
      </c>
    </row>
    <row r="35" spans="1:7" ht="40" customHeight="1" x14ac:dyDescent="0.4">
      <c r="A35" s="184"/>
      <c r="B35" s="43">
        <f t="shared" si="0"/>
        <v>32</v>
      </c>
      <c r="C35" s="41" t="s">
        <v>465</v>
      </c>
      <c r="D35" s="41" t="s">
        <v>463</v>
      </c>
      <c r="E35" s="43" t="s">
        <v>4</v>
      </c>
      <c r="F35" s="74" t="s">
        <v>618</v>
      </c>
    </row>
    <row r="36" spans="1:7" ht="40" customHeight="1" thickBot="1" x14ac:dyDescent="0.45">
      <c r="A36" s="185"/>
      <c r="B36" s="46">
        <f t="shared" si="0"/>
        <v>33</v>
      </c>
      <c r="C36" s="45" t="s">
        <v>466</v>
      </c>
      <c r="D36" s="45" t="s">
        <v>467</v>
      </c>
      <c r="E36" s="46" t="s">
        <v>4</v>
      </c>
      <c r="F36" s="76" t="s">
        <v>618</v>
      </c>
    </row>
    <row r="37" spans="1:7" s="29" customFormat="1" ht="40" customHeight="1" x14ac:dyDescent="0.4">
      <c r="A37" s="171" t="s">
        <v>199</v>
      </c>
      <c r="B37" s="71">
        <f t="shared" si="0"/>
        <v>34</v>
      </c>
      <c r="C37" s="119" t="s">
        <v>288</v>
      </c>
      <c r="D37" s="119" t="s">
        <v>400</v>
      </c>
      <c r="E37" s="118" t="s">
        <v>710</v>
      </c>
      <c r="F37" s="78" t="s">
        <v>292</v>
      </c>
    </row>
    <row r="38" spans="1:7" s="29" customFormat="1" ht="40" customHeight="1" x14ac:dyDescent="0.4">
      <c r="A38" s="172"/>
      <c r="B38" s="43">
        <f t="shared" si="0"/>
        <v>35</v>
      </c>
      <c r="C38" s="121" t="s">
        <v>289</v>
      </c>
      <c r="D38" s="121" t="s">
        <v>401</v>
      </c>
      <c r="E38" s="120" t="s">
        <v>709</v>
      </c>
      <c r="F38" s="74" t="s">
        <v>293</v>
      </c>
    </row>
    <row r="39" spans="1:7" s="29" customFormat="1" ht="40" customHeight="1" thickBot="1" x14ac:dyDescent="0.45">
      <c r="A39" s="232"/>
      <c r="B39" s="89">
        <f t="shared" si="0"/>
        <v>36</v>
      </c>
      <c r="C39" s="134" t="s">
        <v>290</v>
      </c>
      <c r="D39" s="134" t="s">
        <v>291</v>
      </c>
      <c r="E39" s="135" t="s">
        <v>710</v>
      </c>
      <c r="F39" s="91" t="s">
        <v>292</v>
      </c>
    </row>
    <row r="40" spans="1:7" ht="40" customHeight="1" x14ac:dyDescent="0.4">
      <c r="A40" s="201" t="s">
        <v>595</v>
      </c>
      <c r="B40" s="118">
        <f t="shared" si="0"/>
        <v>37</v>
      </c>
      <c r="C40" s="119" t="s">
        <v>50</v>
      </c>
      <c r="D40" s="119" t="s">
        <v>53</v>
      </c>
      <c r="E40" s="118" t="s">
        <v>765</v>
      </c>
      <c r="F40" s="236" t="s">
        <v>767</v>
      </c>
    </row>
    <row r="41" spans="1:7" ht="40" customHeight="1" x14ac:dyDescent="0.4">
      <c r="A41" s="194"/>
      <c r="B41" s="120">
        <f t="shared" si="0"/>
        <v>38</v>
      </c>
      <c r="C41" s="121" t="s">
        <v>51</v>
      </c>
      <c r="D41" s="121" t="s">
        <v>54</v>
      </c>
      <c r="E41" s="120" t="s">
        <v>766</v>
      </c>
      <c r="F41" s="237"/>
    </row>
    <row r="42" spans="1:7" ht="40" customHeight="1" x14ac:dyDescent="0.4">
      <c r="A42" s="194"/>
      <c r="B42" s="120">
        <f t="shared" si="0"/>
        <v>39</v>
      </c>
      <c r="C42" s="121" t="s">
        <v>768</v>
      </c>
      <c r="D42" s="121" t="s">
        <v>56</v>
      </c>
      <c r="E42" s="120" t="s">
        <v>766</v>
      </c>
      <c r="F42" s="237"/>
      <c r="G42" s="159">
        <v>46120</v>
      </c>
    </row>
    <row r="43" spans="1:7" ht="40" customHeight="1" x14ac:dyDescent="0.4">
      <c r="A43" s="194"/>
      <c r="B43" s="120">
        <f t="shared" si="0"/>
        <v>40</v>
      </c>
      <c r="C43" s="121" t="s">
        <v>773</v>
      </c>
      <c r="D43" s="121" t="s">
        <v>57</v>
      </c>
      <c r="E43" s="120" t="s">
        <v>766</v>
      </c>
      <c r="F43" s="237"/>
      <c r="G43" s="159">
        <v>46120</v>
      </c>
    </row>
    <row r="44" spans="1:7" ht="40" customHeight="1" x14ac:dyDescent="0.4">
      <c r="A44" s="194"/>
      <c r="B44" s="120">
        <f t="shared" si="0"/>
        <v>41</v>
      </c>
      <c r="C44" s="121" t="s">
        <v>775</v>
      </c>
      <c r="D44" s="121" t="s">
        <v>58</v>
      </c>
      <c r="E44" s="120" t="s">
        <v>766</v>
      </c>
      <c r="F44" s="237"/>
      <c r="G44" s="159">
        <v>46120</v>
      </c>
    </row>
    <row r="45" spans="1:7" ht="40" customHeight="1" thickBot="1" x14ac:dyDescent="0.45">
      <c r="A45" s="195"/>
      <c r="B45" s="135">
        <f t="shared" si="0"/>
        <v>42</v>
      </c>
      <c r="C45" s="134" t="s">
        <v>52</v>
      </c>
      <c r="D45" s="134" t="s">
        <v>55</v>
      </c>
      <c r="E45" s="135" t="s">
        <v>765</v>
      </c>
      <c r="F45" s="238"/>
    </row>
    <row r="46" spans="1:7" ht="40" customHeight="1" x14ac:dyDescent="0.4">
      <c r="A46" s="183" t="s">
        <v>596</v>
      </c>
      <c r="B46" s="118">
        <f t="shared" si="0"/>
        <v>43</v>
      </c>
      <c r="C46" s="119" t="s">
        <v>189</v>
      </c>
      <c r="D46" s="119" t="s">
        <v>192</v>
      </c>
      <c r="E46" s="118" t="s">
        <v>664</v>
      </c>
      <c r="F46" s="78" t="s">
        <v>618</v>
      </c>
    </row>
    <row r="47" spans="1:7" ht="40" customHeight="1" x14ac:dyDescent="0.4">
      <c r="A47" s="184"/>
      <c r="B47" s="120">
        <f t="shared" si="0"/>
        <v>44</v>
      </c>
      <c r="C47" s="121" t="s">
        <v>190</v>
      </c>
      <c r="D47" s="121" t="s">
        <v>193</v>
      </c>
      <c r="E47" s="120" t="s">
        <v>664</v>
      </c>
      <c r="F47" s="74" t="s">
        <v>618</v>
      </c>
    </row>
    <row r="48" spans="1:7" ht="40" customHeight="1" x14ac:dyDescent="0.4">
      <c r="A48" s="184"/>
      <c r="B48" s="120">
        <f t="shared" si="0"/>
        <v>45</v>
      </c>
      <c r="C48" s="121" t="s">
        <v>772</v>
      </c>
      <c r="D48" s="121" t="s">
        <v>195</v>
      </c>
      <c r="E48" s="120" t="s">
        <v>710</v>
      </c>
      <c r="F48" s="74" t="s">
        <v>618</v>
      </c>
      <c r="G48" s="159">
        <v>46120</v>
      </c>
    </row>
    <row r="49" spans="1:10" ht="40" customHeight="1" x14ac:dyDescent="0.4">
      <c r="A49" s="184"/>
      <c r="B49" s="120">
        <f t="shared" si="0"/>
        <v>46</v>
      </c>
      <c r="C49" s="121" t="s">
        <v>774</v>
      </c>
      <c r="D49" s="121" t="s">
        <v>196</v>
      </c>
      <c r="E49" s="120" t="s">
        <v>664</v>
      </c>
      <c r="F49" s="74" t="s">
        <v>618</v>
      </c>
      <c r="G49" s="159">
        <v>46120</v>
      </c>
    </row>
    <row r="50" spans="1:10" ht="40" customHeight="1" x14ac:dyDescent="0.4">
      <c r="A50" s="184"/>
      <c r="B50" s="120">
        <f t="shared" si="0"/>
        <v>47</v>
      </c>
      <c r="C50" s="121" t="s">
        <v>776</v>
      </c>
      <c r="D50" s="121" t="s">
        <v>197</v>
      </c>
      <c r="E50" s="120" t="s">
        <v>668</v>
      </c>
      <c r="F50" s="74" t="s">
        <v>618</v>
      </c>
      <c r="G50" s="159">
        <v>46120</v>
      </c>
    </row>
    <row r="51" spans="1:10" ht="40" customHeight="1" thickBot="1" x14ac:dyDescent="0.45">
      <c r="A51" s="230"/>
      <c r="B51" s="135">
        <f t="shared" si="0"/>
        <v>48</v>
      </c>
      <c r="C51" s="134" t="s">
        <v>191</v>
      </c>
      <c r="D51" s="134" t="s">
        <v>194</v>
      </c>
      <c r="E51" s="135" t="s">
        <v>709</v>
      </c>
      <c r="F51" s="91" t="s">
        <v>618</v>
      </c>
    </row>
    <row r="52" spans="1:10" ht="40" customHeight="1" x14ac:dyDescent="0.4">
      <c r="A52" s="183" t="s">
        <v>597</v>
      </c>
      <c r="B52" s="71">
        <f t="shared" si="0"/>
        <v>49</v>
      </c>
      <c r="C52" s="72" t="s">
        <v>377</v>
      </c>
      <c r="D52" s="166" t="s">
        <v>801</v>
      </c>
      <c r="E52" s="71" t="s">
        <v>711</v>
      </c>
      <c r="F52" s="73" t="s">
        <v>598</v>
      </c>
      <c r="G52" s="159">
        <v>46120</v>
      </c>
      <c r="J52" s="14" t="s">
        <v>798</v>
      </c>
    </row>
    <row r="53" spans="1:10" ht="40" customHeight="1" x14ac:dyDescent="0.4">
      <c r="A53" s="184"/>
      <c r="B53" s="43">
        <f t="shared" si="0"/>
        <v>50</v>
      </c>
      <c r="C53" s="41" t="s">
        <v>378</v>
      </c>
      <c r="D53" s="167" t="s">
        <v>800</v>
      </c>
      <c r="E53" s="43" t="s">
        <v>712</v>
      </c>
      <c r="F53" s="75" t="s">
        <v>599</v>
      </c>
      <c r="G53" s="159">
        <v>46120</v>
      </c>
    </row>
    <row r="54" spans="1:10" ht="40" customHeight="1" x14ac:dyDescent="0.4">
      <c r="A54" s="184"/>
      <c r="B54" s="43">
        <f t="shared" si="0"/>
        <v>51</v>
      </c>
      <c r="C54" s="41" t="s">
        <v>379</v>
      </c>
      <c r="D54" s="41" t="s">
        <v>323</v>
      </c>
      <c r="E54" s="43" t="s">
        <v>712</v>
      </c>
      <c r="F54" s="75" t="s">
        <v>600</v>
      </c>
    </row>
    <row r="55" spans="1:10" ht="40" customHeight="1" thickBot="1" x14ac:dyDescent="0.45">
      <c r="A55" s="230"/>
      <c r="B55" s="89">
        <f t="shared" si="0"/>
        <v>52</v>
      </c>
      <c r="C55" s="90" t="s">
        <v>380</v>
      </c>
      <c r="D55" s="90" t="s">
        <v>324</v>
      </c>
      <c r="E55" s="89" t="s">
        <v>712</v>
      </c>
      <c r="F55" s="102" t="s">
        <v>601</v>
      </c>
    </row>
    <row r="56" spans="1:10" ht="40" customHeight="1" x14ac:dyDescent="0.4">
      <c r="A56" s="183" t="s">
        <v>602</v>
      </c>
      <c r="B56" s="118">
        <f t="shared" si="0"/>
        <v>53</v>
      </c>
      <c r="C56" s="119" t="s">
        <v>59</v>
      </c>
      <c r="D56" s="119" t="s">
        <v>277</v>
      </c>
      <c r="E56" s="118" t="s">
        <v>663</v>
      </c>
      <c r="F56" s="78" t="s">
        <v>617</v>
      </c>
      <c r="H56" s="168" t="s">
        <v>812</v>
      </c>
    </row>
    <row r="57" spans="1:10" ht="40" customHeight="1" x14ac:dyDescent="0.4">
      <c r="A57" s="184"/>
      <c r="B57" s="120">
        <f t="shared" si="0"/>
        <v>54</v>
      </c>
      <c r="C57" s="121" t="s">
        <v>66</v>
      </c>
      <c r="D57" s="121" t="s">
        <v>60</v>
      </c>
      <c r="E57" s="120" t="s">
        <v>713</v>
      </c>
      <c r="F57" s="74" t="s">
        <v>617</v>
      </c>
      <c r="H57" s="168" t="s">
        <v>813</v>
      </c>
    </row>
    <row r="58" spans="1:10" ht="40" customHeight="1" x14ac:dyDescent="0.4">
      <c r="A58" s="184"/>
      <c r="B58" s="120">
        <f t="shared" si="0"/>
        <v>55</v>
      </c>
      <c r="C58" s="121" t="s">
        <v>777</v>
      </c>
      <c r="D58" s="121" t="s">
        <v>120</v>
      </c>
      <c r="E58" s="120" t="s">
        <v>664</v>
      </c>
      <c r="F58" s="74" t="s">
        <v>617</v>
      </c>
      <c r="G58" s="159">
        <v>46120</v>
      </c>
      <c r="H58" s="168" t="s">
        <v>813</v>
      </c>
    </row>
    <row r="59" spans="1:10" ht="40" customHeight="1" x14ac:dyDescent="0.4">
      <c r="A59" s="184"/>
      <c r="B59" s="120">
        <f t="shared" si="0"/>
        <v>56</v>
      </c>
      <c r="C59" s="121" t="s">
        <v>606</v>
      </c>
      <c r="D59" s="121" t="s">
        <v>121</v>
      </c>
      <c r="E59" s="120" t="s">
        <v>664</v>
      </c>
      <c r="F59" s="74" t="s">
        <v>617</v>
      </c>
      <c r="H59" s="168" t="s">
        <v>813</v>
      </c>
    </row>
    <row r="60" spans="1:10" ht="40" customHeight="1" x14ac:dyDescent="0.4">
      <c r="A60" s="184"/>
      <c r="B60" s="120">
        <f t="shared" si="0"/>
        <v>57</v>
      </c>
      <c r="C60" s="121" t="s">
        <v>607</v>
      </c>
      <c r="D60" s="121" t="s">
        <v>122</v>
      </c>
      <c r="E60" s="120" t="s">
        <v>663</v>
      </c>
      <c r="F60" s="74" t="s">
        <v>617</v>
      </c>
      <c r="H60" s="168" t="s">
        <v>813</v>
      </c>
    </row>
    <row r="61" spans="1:10" ht="40" customHeight="1" thickBot="1" x14ac:dyDescent="0.45">
      <c r="A61" s="230"/>
      <c r="B61" s="135">
        <f t="shared" si="0"/>
        <v>58</v>
      </c>
      <c r="C61" s="134" t="s">
        <v>118</v>
      </c>
      <c r="D61" s="134" t="s">
        <v>119</v>
      </c>
      <c r="E61" s="135" t="s">
        <v>713</v>
      </c>
      <c r="F61" s="91" t="s">
        <v>617</v>
      </c>
      <c r="H61" s="168" t="s">
        <v>814</v>
      </c>
    </row>
    <row r="62" spans="1:10" ht="40" customHeight="1" x14ac:dyDescent="0.4">
      <c r="A62" s="183" t="s">
        <v>603</v>
      </c>
      <c r="B62" s="71">
        <f t="shared" si="0"/>
        <v>59</v>
      </c>
      <c r="C62" s="72" t="s">
        <v>604</v>
      </c>
      <c r="D62" s="72" t="s">
        <v>611</v>
      </c>
      <c r="E62" s="71" t="s">
        <v>123</v>
      </c>
      <c r="F62" s="78" t="s">
        <v>617</v>
      </c>
    </row>
    <row r="63" spans="1:10" ht="40" customHeight="1" x14ac:dyDescent="0.4">
      <c r="A63" s="184"/>
      <c r="B63" s="43">
        <f t="shared" si="0"/>
        <v>60</v>
      </c>
      <c r="C63" s="41" t="s">
        <v>605</v>
      </c>
      <c r="D63" s="41" t="s">
        <v>612</v>
      </c>
      <c r="E63" s="43" t="s">
        <v>123</v>
      </c>
      <c r="F63" s="74" t="s">
        <v>617</v>
      </c>
    </row>
    <row r="64" spans="1:10" ht="40" customHeight="1" x14ac:dyDescent="0.4">
      <c r="A64" s="184"/>
      <c r="B64" s="43">
        <f t="shared" si="0"/>
        <v>61</v>
      </c>
      <c r="C64" s="41" t="s">
        <v>778</v>
      </c>
      <c r="D64" s="41" t="s">
        <v>613</v>
      </c>
      <c r="E64" s="43" t="s">
        <v>123</v>
      </c>
      <c r="F64" s="74" t="s">
        <v>617</v>
      </c>
      <c r="G64" s="159">
        <v>46120</v>
      </c>
    </row>
    <row r="65" spans="1:6" ht="40" customHeight="1" x14ac:dyDescent="0.4">
      <c r="A65" s="184"/>
      <c r="B65" s="43">
        <f t="shared" si="0"/>
        <v>62</v>
      </c>
      <c r="C65" s="41" t="s">
        <v>608</v>
      </c>
      <c r="D65" s="41" t="s">
        <v>614</v>
      </c>
      <c r="E65" s="43" t="s">
        <v>123</v>
      </c>
      <c r="F65" s="74" t="s">
        <v>617</v>
      </c>
    </row>
    <row r="66" spans="1:6" ht="40" customHeight="1" x14ac:dyDescent="0.4">
      <c r="A66" s="184"/>
      <c r="B66" s="43">
        <f t="shared" si="0"/>
        <v>63</v>
      </c>
      <c r="C66" s="41" t="s">
        <v>609</v>
      </c>
      <c r="D66" s="41" t="s">
        <v>615</v>
      </c>
      <c r="E66" s="43" t="s">
        <v>123</v>
      </c>
      <c r="F66" s="74" t="s">
        <v>617</v>
      </c>
    </row>
    <row r="67" spans="1:6" ht="40" customHeight="1" thickBot="1" x14ac:dyDescent="0.45">
      <c r="A67" s="185"/>
      <c r="B67" s="46">
        <f t="shared" si="0"/>
        <v>64</v>
      </c>
      <c r="C67" s="45" t="s">
        <v>610</v>
      </c>
      <c r="D67" s="45" t="s">
        <v>616</v>
      </c>
      <c r="E67" s="46" t="s">
        <v>123</v>
      </c>
      <c r="F67" s="76" t="s">
        <v>617</v>
      </c>
    </row>
    <row r="68" spans="1:6" ht="40" customHeight="1" x14ac:dyDescent="0.4"/>
    <row r="69" spans="1:6" ht="40" customHeight="1" x14ac:dyDescent="0.4"/>
    <row r="70" spans="1:6" ht="40" customHeight="1" x14ac:dyDescent="0.4"/>
    <row r="102" spans="1:6" ht="40" customHeight="1" x14ac:dyDescent="0.4">
      <c r="A102" s="64" t="s">
        <v>448</v>
      </c>
      <c r="B102" s="54">
        <f t="shared" si="0"/>
        <v>99</v>
      </c>
      <c r="C102" s="100" t="s">
        <v>456</v>
      </c>
      <c r="D102" s="100" t="s">
        <v>455</v>
      </c>
      <c r="E102" s="56" t="s">
        <v>305</v>
      </c>
      <c r="F102" s="65"/>
    </row>
    <row r="103" spans="1:6" ht="40" customHeight="1" x14ac:dyDescent="0.4">
      <c r="A103" s="64"/>
      <c r="B103" s="54">
        <f t="shared" si="0"/>
        <v>100</v>
      </c>
      <c r="C103" s="100" t="s">
        <v>457</v>
      </c>
      <c r="D103" s="100" t="s">
        <v>453</v>
      </c>
      <c r="E103" s="56" t="s">
        <v>305</v>
      </c>
      <c r="F103" s="65"/>
    </row>
    <row r="104" spans="1:6" ht="40" customHeight="1" x14ac:dyDescent="0.4">
      <c r="A104" s="64"/>
      <c r="B104" s="54">
        <f t="shared" si="0"/>
        <v>101</v>
      </c>
      <c r="C104" s="100" t="s">
        <v>449</v>
      </c>
      <c r="D104" s="100" t="s">
        <v>454</v>
      </c>
      <c r="E104" s="56" t="s">
        <v>67</v>
      </c>
      <c r="F104" s="65"/>
    </row>
    <row r="105" spans="1:6" ht="40" customHeight="1" x14ac:dyDescent="0.4">
      <c r="A105" s="64"/>
      <c r="B105" s="54">
        <f t="shared" si="0"/>
        <v>102</v>
      </c>
      <c r="C105" s="100" t="s">
        <v>450</v>
      </c>
      <c r="D105" s="100" t="s">
        <v>458</v>
      </c>
      <c r="E105" s="56" t="s">
        <v>67</v>
      </c>
      <c r="F105" s="65"/>
    </row>
    <row r="106" spans="1:6" ht="40" customHeight="1" x14ac:dyDescent="0.4">
      <c r="A106" s="64"/>
      <c r="B106" s="54">
        <f t="shared" si="0"/>
        <v>103</v>
      </c>
      <c r="C106" s="100" t="s">
        <v>451</v>
      </c>
      <c r="D106" s="100" t="s">
        <v>459</v>
      </c>
      <c r="E106" s="56" t="s">
        <v>63</v>
      </c>
      <c r="F106" s="65"/>
    </row>
    <row r="107" spans="1:6" ht="40" customHeight="1" x14ac:dyDescent="0.4">
      <c r="A107" s="64"/>
      <c r="B107" s="54">
        <f t="shared" si="0"/>
        <v>104</v>
      </c>
      <c r="C107" s="100" t="s">
        <v>452</v>
      </c>
      <c r="D107" s="100" t="s">
        <v>460</v>
      </c>
      <c r="E107" s="56" t="s">
        <v>67</v>
      </c>
      <c r="F107" s="65"/>
    </row>
    <row r="108" spans="1:6" ht="40" customHeight="1" x14ac:dyDescent="0.4">
      <c r="A108" s="94" t="s">
        <v>172</v>
      </c>
      <c r="B108" s="54">
        <f t="shared" si="0"/>
        <v>105</v>
      </c>
      <c r="C108" s="60" t="s">
        <v>381</v>
      </c>
      <c r="D108" s="60" t="s">
        <v>107</v>
      </c>
      <c r="E108" s="54" t="s">
        <v>306</v>
      </c>
      <c r="F108" s="61"/>
    </row>
    <row r="111" spans="1:6" ht="17" customHeight="1" x14ac:dyDescent="0.4">
      <c r="A111" s="31"/>
    </row>
    <row r="112" spans="1:6" ht="17" customHeight="1" x14ac:dyDescent="0.4">
      <c r="A112" s="31"/>
    </row>
    <row r="113" spans="1:1" ht="17" customHeight="1" x14ac:dyDescent="0.4">
      <c r="A113" s="31"/>
    </row>
    <row r="114" spans="1:1" ht="17" customHeight="1" x14ac:dyDescent="0.4">
      <c r="A114" s="31"/>
    </row>
    <row r="115" spans="1:1" ht="17" customHeight="1" x14ac:dyDescent="0.4">
      <c r="A115" s="31"/>
    </row>
    <row r="116" spans="1:1" ht="17" customHeight="1" x14ac:dyDescent="0.4">
      <c r="A116" s="31"/>
    </row>
  </sheetData>
  <mergeCells count="18">
    <mergeCell ref="F40:F45"/>
    <mergeCell ref="B2:B3"/>
    <mergeCell ref="E2:E3"/>
    <mergeCell ref="F2:F3"/>
    <mergeCell ref="A1:F1"/>
    <mergeCell ref="A16:A17"/>
    <mergeCell ref="A62:A67"/>
    <mergeCell ref="A56:A61"/>
    <mergeCell ref="A2:A3"/>
    <mergeCell ref="A52:A55"/>
    <mergeCell ref="A4:A11"/>
    <mergeCell ref="A12:A15"/>
    <mergeCell ref="A29:A32"/>
    <mergeCell ref="A33:A36"/>
    <mergeCell ref="A37:A39"/>
    <mergeCell ref="A40:A45"/>
    <mergeCell ref="A46:A51"/>
    <mergeCell ref="A18:A28"/>
  </mergeCells>
  <phoneticPr fontId="1" type="noConversion"/>
  <printOptions horizontalCentered="1"/>
  <pageMargins left="0" right="0" top="0.35433070866141736" bottom="0" header="0.31496062992125984" footer="0.31496062992125984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G60"/>
  <sheetViews>
    <sheetView zoomScale="70" zoomScaleNormal="70" workbookViewId="0">
      <selection activeCell="C32" sqref="C32"/>
    </sheetView>
  </sheetViews>
  <sheetFormatPr defaultRowHeight="17" x14ac:dyDescent="0.4"/>
  <cols>
    <col min="1" max="1" width="14" style="103" customWidth="1"/>
    <col min="2" max="2" width="7.453125" style="103" customWidth="1"/>
    <col min="3" max="3" width="41.81640625" style="103" customWidth="1"/>
    <col min="4" max="4" width="45.6328125" style="103" customWidth="1"/>
    <col min="5" max="5" width="26.81640625" style="104" customWidth="1"/>
    <col min="6" max="6" width="66.26953125" style="103" customWidth="1"/>
    <col min="7" max="7" width="11.26953125" style="103" customWidth="1"/>
    <col min="8" max="16384" width="8.7265625" style="103"/>
  </cols>
  <sheetData>
    <row r="1" spans="1:7" ht="160" customHeight="1" thickBot="1" x14ac:dyDescent="0.45">
      <c r="A1" s="200" t="s">
        <v>622</v>
      </c>
      <c r="B1" s="200"/>
      <c r="C1" s="200"/>
      <c r="D1" s="200"/>
      <c r="E1" s="200"/>
      <c r="F1" s="200"/>
      <c r="G1" s="58"/>
    </row>
    <row r="2" spans="1:7" ht="61.5" customHeight="1" x14ac:dyDescent="0.4">
      <c r="A2" s="196" t="s">
        <v>174</v>
      </c>
      <c r="B2" s="241" t="s">
        <v>49</v>
      </c>
      <c r="C2" s="106" t="s">
        <v>124</v>
      </c>
      <c r="D2" s="72" t="s">
        <v>620</v>
      </c>
      <c r="E2" s="243" t="s">
        <v>1</v>
      </c>
      <c r="F2" s="245" t="s">
        <v>18</v>
      </c>
      <c r="G2" s="58"/>
    </row>
    <row r="3" spans="1:7" ht="40" customHeight="1" thickBot="1" x14ac:dyDescent="0.45">
      <c r="A3" s="205"/>
      <c r="B3" s="242"/>
      <c r="C3" s="111" t="s">
        <v>3</v>
      </c>
      <c r="D3" s="89" t="s">
        <v>2</v>
      </c>
      <c r="E3" s="244"/>
      <c r="F3" s="186"/>
      <c r="G3" s="58"/>
    </row>
    <row r="4" spans="1:7" ht="85" customHeight="1" x14ac:dyDescent="0.4">
      <c r="A4" s="201" t="s">
        <v>198</v>
      </c>
      <c r="B4" s="71">
        <f>ROW()-ROW($C$3)</f>
        <v>1</v>
      </c>
      <c r="C4" s="119" t="s">
        <v>249</v>
      </c>
      <c r="D4" s="126" t="s">
        <v>619</v>
      </c>
      <c r="E4" s="127" t="s">
        <v>664</v>
      </c>
      <c r="F4" s="73" t="s">
        <v>621</v>
      </c>
      <c r="G4" s="58"/>
    </row>
    <row r="5" spans="1:7" ht="40" customHeight="1" x14ac:dyDescent="0.4">
      <c r="A5" s="194"/>
      <c r="B5" s="43">
        <f t="shared" ref="B5:B41" si="0">ROW()-ROW($C$3)</f>
        <v>2</v>
      </c>
      <c r="C5" s="121" t="s">
        <v>373</v>
      </c>
      <c r="D5" s="128" t="s">
        <v>6</v>
      </c>
      <c r="E5" s="129" t="s">
        <v>713</v>
      </c>
      <c r="F5" s="74"/>
      <c r="G5" s="58"/>
    </row>
    <row r="6" spans="1:7" ht="40" customHeight="1" x14ac:dyDescent="0.4">
      <c r="A6" s="194"/>
      <c r="B6" s="43">
        <f t="shared" si="0"/>
        <v>3</v>
      </c>
      <c r="C6" s="121" t="s">
        <v>326</v>
      </c>
      <c r="D6" s="128" t="s">
        <v>624</v>
      </c>
      <c r="E6" s="129" t="s">
        <v>736</v>
      </c>
      <c r="F6" s="74" t="s">
        <v>623</v>
      </c>
      <c r="G6" s="58"/>
    </row>
    <row r="7" spans="1:7" ht="40" customHeight="1" x14ac:dyDescent="0.4">
      <c r="A7" s="194"/>
      <c r="B7" s="43">
        <f t="shared" si="0"/>
        <v>4</v>
      </c>
      <c r="C7" s="121" t="s">
        <v>330</v>
      </c>
      <c r="D7" s="121" t="s">
        <v>107</v>
      </c>
      <c r="E7" s="120" t="s">
        <v>713</v>
      </c>
      <c r="F7" s="75"/>
      <c r="G7" s="58"/>
    </row>
    <row r="8" spans="1:7" ht="40" customHeight="1" x14ac:dyDescent="0.4">
      <c r="A8" s="194"/>
      <c r="B8" s="43">
        <f t="shared" si="0"/>
        <v>5</v>
      </c>
      <c r="C8" s="41" t="s">
        <v>371</v>
      </c>
      <c r="D8" s="41" t="s">
        <v>108</v>
      </c>
      <c r="E8" s="43" t="s">
        <v>4</v>
      </c>
      <c r="F8" s="74"/>
      <c r="G8" s="58"/>
    </row>
    <row r="9" spans="1:7" ht="40" customHeight="1" x14ac:dyDescent="0.4">
      <c r="A9" s="194"/>
      <c r="B9" s="43">
        <f t="shared" si="0"/>
        <v>6</v>
      </c>
      <c r="C9" s="41" t="s">
        <v>382</v>
      </c>
      <c r="D9" s="50" t="s">
        <v>5</v>
      </c>
      <c r="E9" s="42" t="s">
        <v>8</v>
      </c>
      <c r="F9" s="75" t="s">
        <v>518</v>
      </c>
      <c r="G9" s="58"/>
    </row>
    <row r="10" spans="1:7" ht="50.5" customHeight="1" x14ac:dyDescent="0.4">
      <c r="A10" s="194"/>
      <c r="B10" s="43">
        <f t="shared" si="0"/>
        <v>7</v>
      </c>
      <c r="C10" s="41" t="s">
        <v>140</v>
      </c>
      <c r="D10" s="41" t="s">
        <v>141</v>
      </c>
      <c r="E10" s="42" t="s">
        <v>8</v>
      </c>
      <c r="F10" s="75" t="s">
        <v>519</v>
      </c>
      <c r="G10" s="58"/>
    </row>
    <row r="11" spans="1:7" ht="40" customHeight="1" thickBot="1" x14ac:dyDescent="0.45">
      <c r="A11" s="199"/>
      <c r="B11" s="46">
        <f t="shared" si="0"/>
        <v>8</v>
      </c>
      <c r="C11" s="124" t="s">
        <v>336</v>
      </c>
      <c r="D11" s="131" t="s">
        <v>7</v>
      </c>
      <c r="E11" s="138" t="s">
        <v>714</v>
      </c>
      <c r="F11" s="76" t="s">
        <v>520</v>
      </c>
      <c r="G11" s="58"/>
    </row>
    <row r="12" spans="1:7" ht="40" customHeight="1" x14ac:dyDescent="0.4">
      <c r="A12" s="247" t="s">
        <v>661</v>
      </c>
      <c r="B12" s="51">
        <f t="shared" si="0"/>
        <v>9</v>
      </c>
      <c r="C12" s="132" t="s">
        <v>10</v>
      </c>
      <c r="D12" s="132" t="s">
        <v>11</v>
      </c>
      <c r="E12" s="133" t="s">
        <v>735</v>
      </c>
      <c r="F12" s="70" t="s">
        <v>522</v>
      </c>
      <c r="G12" s="58"/>
    </row>
    <row r="13" spans="1:7" ht="40" customHeight="1" x14ac:dyDescent="0.4">
      <c r="A13" s="248"/>
      <c r="B13" s="43">
        <f t="shared" si="0"/>
        <v>10</v>
      </c>
      <c r="C13" s="41" t="s">
        <v>130</v>
      </c>
      <c r="D13" s="41" t="s">
        <v>625</v>
      </c>
      <c r="E13" s="43" t="s">
        <v>4</v>
      </c>
      <c r="F13" s="69"/>
      <c r="G13" s="58"/>
    </row>
    <row r="14" spans="1:7" ht="40" customHeight="1" x14ac:dyDescent="0.4">
      <c r="A14" s="248"/>
      <c r="B14" s="43">
        <f t="shared" si="0"/>
        <v>11</v>
      </c>
      <c r="C14" s="41" t="s">
        <v>131</v>
      </c>
      <c r="D14" s="41" t="s">
        <v>136</v>
      </c>
      <c r="E14" s="43" t="s">
        <v>4</v>
      </c>
      <c r="F14" s="69"/>
      <c r="G14" s="58"/>
    </row>
    <row r="15" spans="1:7" ht="40" customHeight="1" thickBot="1" x14ac:dyDescent="0.45">
      <c r="A15" s="249"/>
      <c r="B15" s="89">
        <f t="shared" si="0"/>
        <v>12</v>
      </c>
      <c r="C15" s="90" t="s">
        <v>468</v>
      </c>
      <c r="D15" s="90" t="s">
        <v>469</v>
      </c>
      <c r="E15" s="89" t="s">
        <v>562</v>
      </c>
      <c r="F15" s="101"/>
      <c r="G15" s="58"/>
    </row>
    <row r="16" spans="1:7" ht="40" customHeight="1" x14ac:dyDescent="0.4">
      <c r="A16" s="201" t="s">
        <v>662</v>
      </c>
      <c r="B16" s="71">
        <f t="shared" si="0"/>
        <v>13</v>
      </c>
      <c r="C16" s="119" t="s">
        <v>213</v>
      </c>
      <c r="D16" s="119" t="s">
        <v>471</v>
      </c>
      <c r="E16" s="127" t="s">
        <v>715</v>
      </c>
      <c r="F16" s="78"/>
      <c r="G16" s="58"/>
    </row>
    <row r="17" spans="1:7" ht="40" customHeight="1" x14ac:dyDescent="0.4">
      <c r="A17" s="193"/>
      <c r="B17" s="43">
        <f t="shared" si="0"/>
        <v>14</v>
      </c>
      <c r="C17" s="41" t="s">
        <v>203</v>
      </c>
      <c r="D17" s="41" t="s">
        <v>626</v>
      </c>
      <c r="E17" s="42" t="s">
        <v>716</v>
      </c>
      <c r="F17" s="74"/>
      <c r="G17" s="58"/>
    </row>
    <row r="18" spans="1:7" ht="40" customHeight="1" x14ac:dyDescent="0.4">
      <c r="A18" s="194"/>
      <c r="B18" s="43">
        <f t="shared" si="0"/>
        <v>15</v>
      </c>
      <c r="C18" s="41" t="s">
        <v>212</v>
      </c>
      <c r="D18" s="41" t="s">
        <v>645</v>
      </c>
      <c r="E18" s="42" t="s">
        <v>719</v>
      </c>
      <c r="F18" s="74"/>
      <c r="G18" s="58"/>
    </row>
    <row r="19" spans="1:7" ht="40" customHeight="1" x14ac:dyDescent="0.4">
      <c r="A19" s="194"/>
      <c r="B19" s="43">
        <f t="shared" si="0"/>
        <v>16</v>
      </c>
      <c r="C19" s="41" t="s">
        <v>627</v>
      </c>
      <c r="D19" s="41" t="s">
        <v>628</v>
      </c>
      <c r="E19" s="42" t="s">
        <v>717</v>
      </c>
      <c r="F19" s="112"/>
      <c r="G19" s="58"/>
    </row>
    <row r="20" spans="1:7" ht="40" customHeight="1" x14ac:dyDescent="0.4">
      <c r="A20" s="194"/>
      <c r="B20" s="43">
        <f t="shared" si="0"/>
        <v>17</v>
      </c>
      <c r="C20" s="41" t="s">
        <v>245</v>
      </c>
      <c r="D20" s="41" t="s">
        <v>133</v>
      </c>
      <c r="E20" s="42" t="s">
        <v>687</v>
      </c>
      <c r="F20" s="74"/>
      <c r="G20" s="58"/>
    </row>
    <row r="21" spans="1:7" ht="40" customHeight="1" x14ac:dyDescent="0.4">
      <c r="A21" s="194"/>
      <c r="B21" s="43">
        <f t="shared" si="0"/>
        <v>18</v>
      </c>
      <c r="C21" s="41" t="s">
        <v>204</v>
      </c>
      <c r="D21" s="41" t="s">
        <v>134</v>
      </c>
      <c r="E21" s="42" t="s">
        <v>718</v>
      </c>
      <c r="F21" s="74"/>
      <c r="G21" s="58"/>
    </row>
    <row r="22" spans="1:7" ht="40" customHeight="1" x14ac:dyDescent="0.4">
      <c r="A22" s="194"/>
      <c r="B22" s="43">
        <f t="shared" si="0"/>
        <v>19</v>
      </c>
      <c r="C22" s="41" t="s">
        <v>470</v>
      </c>
      <c r="D22" s="41" t="s">
        <v>265</v>
      </c>
      <c r="E22" s="42" t="s">
        <v>207</v>
      </c>
      <c r="F22" s="74" t="s">
        <v>208</v>
      </c>
      <c r="G22" s="58"/>
    </row>
    <row r="23" spans="1:7" ht="40" customHeight="1" x14ac:dyDescent="0.4">
      <c r="A23" s="194"/>
      <c r="B23" s="43">
        <f t="shared" si="0"/>
        <v>20</v>
      </c>
      <c r="C23" s="41" t="s">
        <v>180</v>
      </c>
      <c r="D23" s="41" t="s">
        <v>181</v>
      </c>
      <c r="E23" s="42" t="s">
        <v>206</v>
      </c>
      <c r="F23" s="74"/>
      <c r="G23" s="58"/>
    </row>
    <row r="24" spans="1:7" ht="40" customHeight="1" x14ac:dyDescent="0.4">
      <c r="A24" s="194"/>
      <c r="B24" s="43">
        <f t="shared" si="0"/>
        <v>21</v>
      </c>
      <c r="C24" s="41" t="s">
        <v>142</v>
      </c>
      <c r="D24" s="41" t="s">
        <v>143</v>
      </c>
      <c r="E24" s="42" t="s">
        <v>205</v>
      </c>
      <c r="F24" s="74"/>
      <c r="G24" s="58"/>
    </row>
    <row r="25" spans="1:7" ht="40" customHeight="1" x14ac:dyDescent="0.4">
      <c r="A25" s="194"/>
      <c r="B25" s="43">
        <f t="shared" si="0"/>
        <v>22</v>
      </c>
      <c r="C25" s="41" t="s">
        <v>629</v>
      </c>
      <c r="D25" s="41" t="s">
        <v>630</v>
      </c>
      <c r="E25" s="42" t="s">
        <v>590</v>
      </c>
      <c r="F25" s="112"/>
      <c r="G25" s="58"/>
    </row>
    <row r="26" spans="1:7" ht="40" customHeight="1" x14ac:dyDescent="0.4">
      <c r="A26" s="194"/>
      <c r="B26" s="43">
        <f t="shared" si="0"/>
        <v>23</v>
      </c>
      <c r="C26" s="41" t="s">
        <v>633</v>
      </c>
      <c r="D26" s="41" t="s">
        <v>646</v>
      </c>
      <c r="E26" s="42" t="s">
        <v>205</v>
      </c>
      <c r="F26" s="112"/>
      <c r="G26" s="58"/>
    </row>
    <row r="27" spans="1:7" ht="40" customHeight="1" x14ac:dyDescent="0.4">
      <c r="A27" s="194"/>
      <c r="B27" s="43">
        <f t="shared" si="0"/>
        <v>24</v>
      </c>
      <c r="C27" s="41" t="s">
        <v>631</v>
      </c>
      <c r="D27" s="41" t="s">
        <v>632</v>
      </c>
      <c r="E27" s="42" t="s">
        <v>590</v>
      </c>
      <c r="F27" s="112"/>
      <c r="G27" s="58"/>
    </row>
    <row r="28" spans="1:7" ht="40" customHeight="1" x14ac:dyDescent="0.4">
      <c r="A28" s="194"/>
      <c r="B28" s="43">
        <f t="shared" si="0"/>
        <v>25</v>
      </c>
      <c r="C28" s="121" t="s">
        <v>211</v>
      </c>
      <c r="D28" s="121" t="s">
        <v>634</v>
      </c>
      <c r="E28" s="129" t="s">
        <v>663</v>
      </c>
      <c r="F28" s="74"/>
      <c r="G28" s="58"/>
    </row>
    <row r="29" spans="1:7" ht="40" customHeight="1" thickBot="1" x14ac:dyDescent="0.45">
      <c r="A29" s="199"/>
      <c r="B29" s="46">
        <f t="shared" si="0"/>
        <v>26</v>
      </c>
      <c r="C29" s="45" t="s">
        <v>474</v>
      </c>
      <c r="D29" s="45" t="s">
        <v>473</v>
      </c>
      <c r="E29" s="113" t="s">
        <v>207</v>
      </c>
      <c r="F29" s="76" t="s">
        <v>208</v>
      </c>
      <c r="G29" s="58"/>
    </row>
    <row r="30" spans="1:7" ht="40" customHeight="1" x14ac:dyDescent="0.4">
      <c r="A30" s="201" t="s">
        <v>635</v>
      </c>
      <c r="B30" s="71">
        <f t="shared" si="0"/>
        <v>27</v>
      </c>
      <c r="C30" s="72" t="s">
        <v>214</v>
      </c>
      <c r="D30" s="72" t="s">
        <v>125</v>
      </c>
      <c r="E30" s="71" t="s">
        <v>109</v>
      </c>
      <c r="F30" s="78" t="s">
        <v>472</v>
      </c>
      <c r="G30" s="58"/>
    </row>
    <row r="31" spans="1:7" ht="40" customHeight="1" x14ac:dyDescent="0.4">
      <c r="A31" s="194"/>
      <c r="B31" s="43">
        <f t="shared" si="0"/>
        <v>28</v>
      </c>
      <c r="C31" s="41" t="s">
        <v>215</v>
      </c>
      <c r="D31" s="41" t="s">
        <v>126</v>
      </c>
      <c r="E31" s="43" t="s">
        <v>109</v>
      </c>
      <c r="F31" s="74" t="s">
        <v>637</v>
      </c>
      <c r="G31" s="58"/>
    </row>
    <row r="32" spans="1:7" ht="40" customHeight="1" x14ac:dyDescent="0.4">
      <c r="A32" s="194"/>
      <c r="B32" s="152">
        <f t="shared" si="0"/>
        <v>29</v>
      </c>
      <c r="C32" s="41" t="s">
        <v>779</v>
      </c>
      <c r="D32" s="41" t="s">
        <v>128</v>
      </c>
      <c r="E32" s="152" t="s">
        <v>4</v>
      </c>
      <c r="F32" s="74" t="s">
        <v>316</v>
      </c>
      <c r="G32" s="160">
        <v>46120</v>
      </c>
    </row>
    <row r="33" spans="1:7" ht="40" customHeight="1" x14ac:dyDescent="0.4">
      <c r="A33" s="194"/>
      <c r="B33" s="152">
        <f t="shared" si="0"/>
        <v>30</v>
      </c>
      <c r="C33" s="41" t="s">
        <v>784</v>
      </c>
      <c r="D33" s="41" t="s">
        <v>129</v>
      </c>
      <c r="E33" s="152" t="s">
        <v>4</v>
      </c>
      <c r="F33" s="74" t="s">
        <v>316</v>
      </c>
      <c r="G33" s="160">
        <v>46120</v>
      </c>
    </row>
    <row r="34" spans="1:7" ht="40" customHeight="1" x14ac:dyDescent="0.4">
      <c r="A34" s="194"/>
      <c r="B34" s="43">
        <f t="shared" si="0"/>
        <v>31</v>
      </c>
      <c r="C34" s="41" t="s">
        <v>786</v>
      </c>
      <c r="D34" s="41" t="s">
        <v>129</v>
      </c>
      <c r="E34" s="43" t="s">
        <v>109</v>
      </c>
      <c r="F34" s="74" t="s">
        <v>637</v>
      </c>
      <c r="G34" s="160">
        <v>46120</v>
      </c>
    </row>
    <row r="35" spans="1:7" ht="40" customHeight="1" thickBot="1" x14ac:dyDescent="0.45">
      <c r="A35" s="195"/>
      <c r="B35" s="154">
        <f t="shared" si="0"/>
        <v>32</v>
      </c>
      <c r="C35" s="161" t="s">
        <v>783</v>
      </c>
      <c r="D35" s="90" t="s">
        <v>127</v>
      </c>
      <c r="E35" s="154" t="s">
        <v>4</v>
      </c>
      <c r="F35" s="91" t="s">
        <v>316</v>
      </c>
      <c r="G35" s="160">
        <v>46120</v>
      </c>
    </row>
    <row r="36" spans="1:7" ht="40" customHeight="1" x14ac:dyDescent="0.4">
      <c r="A36" s="201" t="s">
        <v>636</v>
      </c>
      <c r="B36" s="153">
        <f t="shared" si="0"/>
        <v>33</v>
      </c>
      <c r="C36" s="72" t="s">
        <v>216</v>
      </c>
      <c r="D36" s="72" t="s">
        <v>384</v>
      </c>
      <c r="E36" s="153" t="s">
        <v>109</v>
      </c>
      <c r="F36" s="78" t="s">
        <v>567</v>
      </c>
      <c r="G36" s="58"/>
    </row>
    <row r="37" spans="1:7" ht="40" customHeight="1" x14ac:dyDescent="0.4">
      <c r="A37" s="194"/>
      <c r="B37" s="152">
        <f t="shared" si="0"/>
        <v>34</v>
      </c>
      <c r="C37" s="41" t="s">
        <v>781</v>
      </c>
      <c r="D37" s="41" t="s">
        <v>385</v>
      </c>
      <c r="E37" s="152" t="s">
        <v>109</v>
      </c>
      <c r="F37" s="74" t="s">
        <v>567</v>
      </c>
      <c r="G37" s="58"/>
    </row>
    <row r="38" spans="1:7" ht="40" customHeight="1" x14ac:dyDescent="0.4">
      <c r="A38" s="194"/>
      <c r="B38" s="152">
        <f t="shared" si="0"/>
        <v>35</v>
      </c>
      <c r="C38" s="41" t="s">
        <v>782</v>
      </c>
      <c r="D38" s="41" t="s">
        <v>128</v>
      </c>
      <c r="E38" s="152" t="s">
        <v>4</v>
      </c>
      <c r="F38" s="74" t="s">
        <v>567</v>
      </c>
      <c r="G38" s="160">
        <v>46120</v>
      </c>
    </row>
    <row r="39" spans="1:7" ht="40" customHeight="1" x14ac:dyDescent="0.4">
      <c r="A39" s="194"/>
      <c r="B39" s="152">
        <f t="shared" si="0"/>
        <v>36</v>
      </c>
      <c r="C39" s="41" t="s">
        <v>785</v>
      </c>
      <c r="D39" s="41" t="s">
        <v>386</v>
      </c>
      <c r="E39" s="152" t="s">
        <v>109</v>
      </c>
      <c r="F39" s="74" t="s">
        <v>576</v>
      </c>
      <c r="G39" s="160">
        <v>46120</v>
      </c>
    </row>
    <row r="40" spans="1:7" ht="40" customHeight="1" x14ac:dyDescent="0.4">
      <c r="A40" s="194"/>
      <c r="B40" s="152">
        <f t="shared" si="0"/>
        <v>37</v>
      </c>
      <c r="C40" s="152" t="s">
        <v>787</v>
      </c>
      <c r="D40" s="41" t="s">
        <v>387</v>
      </c>
      <c r="E40" s="152" t="s">
        <v>109</v>
      </c>
      <c r="F40" s="74" t="s">
        <v>567</v>
      </c>
      <c r="G40" s="160">
        <v>46120</v>
      </c>
    </row>
    <row r="41" spans="1:7" ht="40" customHeight="1" thickBot="1" x14ac:dyDescent="0.45">
      <c r="A41" s="199"/>
      <c r="B41" s="46">
        <f t="shared" si="0"/>
        <v>38</v>
      </c>
      <c r="C41" s="162" t="s">
        <v>788</v>
      </c>
      <c r="D41" s="45" t="s">
        <v>127</v>
      </c>
      <c r="E41" s="46" t="s">
        <v>4</v>
      </c>
      <c r="F41" s="76" t="s">
        <v>567</v>
      </c>
      <c r="G41" s="160">
        <v>46120</v>
      </c>
    </row>
    <row r="45" spans="1:7" ht="40" customHeight="1" x14ac:dyDescent="0.4">
      <c r="A45" s="108"/>
      <c r="B45" s="54"/>
      <c r="C45" s="55"/>
      <c r="D45" s="60"/>
      <c r="E45" s="54"/>
      <c r="F45" s="58"/>
      <c r="G45" s="58"/>
    </row>
    <row r="46" spans="1:7" ht="40" customHeight="1" x14ac:dyDescent="0.4">
      <c r="A46" s="108"/>
      <c r="B46" s="54"/>
      <c r="C46" s="55"/>
      <c r="D46" s="60"/>
      <c r="E46" s="54"/>
      <c r="F46" s="57"/>
      <c r="G46" s="58"/>
    </row>
    <row r="47" spans="1:7" ht="40" customHeight="1" x14ac:dyDescent="0.4">
      <c r="A47" s="108"/>
      <c r="B47" s="54"/>
      <c r="C47" s="55"/>
      <c r="D47" s="60"/>
      <c r="E47" s="54"/>
      <c r="F47" s="57"/>
      <c r="G47" s="58"/>
    </row>
    <row r="48" spans="1:7" ht="40" customHeight="1" x14ac:dyDescent="0.4">
      <c r="A48" s="108"/>
      <c r="B48" s="54"/>
      <c r="C48" s="55"/>
      <c r="D48" s="60"/>
      <c r="E48" s="54"/>
      <c r="F48" s="58"/>
      <c r="G48" s="58"/>
    </row>
    <row r="49" spans="1:7" ht="40" customHeight="1" x14ac:dyDescent="0.4">
      <c r="A49" s="108"/>
      <c r="B49" s="54"/>
      <c r="C49" s="55"/>
      <c r="D49" s="60"/>
      <c r="E49" s="54"/>
      <c r="F49" s="58"/>
      <c r="G49" s="58"/>
    </row>
    <row r="50" spans="1:7" ht="40" customHeight="1" x14ac:dyDescent="0.4">
      <c r="A50" s="108"/>
      <c r="B50" s="54"/>
      <c r="C50" s="55"/>
      <c r="D50" s="60"/>
      <c r="E50" s="54"/>
      <c r="F50" s="58"/>
      <c r="G50" s="58"/>
    </row>
    <row r="51" spans="1:7" ht="40" customHeight="1" x14ac:dyDescent="0.4">
      <c r="A51" s="108"/>
      <c r="B51" s="54"/>
      <c r="C51" s="55"/>
      <c r="D51" s="60"/>
      <c r="E51" s="54"/>
      <c r="F51" s="58"/>
      <c r="G51" s="58"/>
    </row>
    <row r="52" spans="1:7" ht="40" customHeight="1" x14ac:dyDescent="0.4">
      <c r="A52" s="108"/>
      <c r="B52" s="85"/>
      <c r="C52" s="80"/>
      <c r="D52" s="80"/>
      <c r="E52" s="85"/>
      <c r="F52" s="79"/>
      <c r="G52" s="58"/>
    </row>
    <row r="53" spans="1:7" ht="40" customHeight="1" x14ac:dyDescent="0.4">
      <c r="A53" s="246" t="s">
        <v>202</v>
      </c>
      <c r="B53" s="85"/>
      <c r="C53" s="80"/>
      <c r="D53" s="80"/>
      <c r="E53" s="85"/>
      <c r="F53" s="79"/>
      <c r="G53" s="58"/>
    </row>
    <row r="54" spans="1:7" ht="40" customHeight="1" x14ac:dyDescent="0.4">
      <c r="A54" s="246"/>
      <c r="B54" s="85"/>
      <c r="C54" s="80"/>
      <c r="D54" s="80"/>
      <c r="E54" s="85"/>
      <c r="F54" s="79"/>
      <c r="G54" s="58"/>
    </row>
    <row r="55" spans="1:7" ht="40" customHeight="1" x14ac:dyDescent="0.4">
      <c r="A55" s="246"/>
      <c r="B55" s="85"/>
      <c r="C55" s="80"/>
      <c r="D55" s="80"/>
      <c r="E55" s="85"/>
      <c r="F55" s="79"/>
      <c r="G55" s="58"/>
    </row>
    <row r="56" spans="1:7" ht="40" customHeight="1" x14ac:dyDescent="0.4">
      <c r="A56" s="246"/>
      <c r="B56" s="85"/>
      <c r="C56" s="80"/>
      <c r="D56" s="80"/>
      <c r="E56" s="85"/>
      <c r="F56" s="79"/>
      <c r="G56" s="58"/>
    </row>
    <row r="57" spans="1:7" ht="40" customHeight="1" x14ac:dyDescent="0.4">
      <c r="A57" s="246"/>
      <c r="B57" s="85"/>
      <c r="C57" s="80"/>
      <c r="D57" s="80"/>
      <c r="E57" s="85"/>
      <c r="F57" s="79"/>
      <c r="G57" s="58"/>
    </row>
    <row r="58" spans="1:7" x14ac:dyDescent="0.4">
      <c r="A58" s="246"/>
    </row>
    <row r="59" spans="1:7" ht="21.5" x14ac:dyDescent="0.4">
      <c r="A59" s="109" t="s">
        <v>173</v>
      </c>
    </row>
    <row r="60" spans="1:7" ht="21.5" x14ac:dyDescent="0.4">
      <c r="A60" s="59"/>
    </row>
  </sheetData>
  <mergeCells count="11">
    <mergeCell ref="B2:B3"/>
    <mergeCell ref="E2:E3"/>
    <mergeCell ref="F2:F3"/>
    <mergeCell ref="A1:F1"/>
    <mergeCell ref="A53:A58"/>
    <mergeCell ref="A2:A3"/>
    <mergeCell ref="A4:A11"/>
    <mergeCell ref="A12:A15"/>
    <mergeCell ref="A16:A29"/>
    <mergeCell ref="A30:A35"/>
    <mergeCell ref="A36:A41"/>
  </mergeCells>
  <phoneticPr fontId="1" type="noConversion"/>
  <printOptions horizontalCentered="1"/>
  <pageMargins left="0" right="0" top="0.35433070866141736" bottom="0" header="0.31496062992125984" footer="0.31496062992125984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69"/>
  <sheetViews>
    <sheetView zoomScale="70" zoomScaleNormal="70" workbookViewId="0">
      <selection activeCell="D39" sqref="D39"/>
    </sheetView>
  </sheetViews>
  <sheetFormatPr defaultRowHeight="17" x14ac:dyDescent="0.4"/>
  <cols>
    <col min="1" max="1" width="14" style="14" customWidth="1"/>
    <col min="2" max="2" width="7.453125" style="14" customWidth="1"/>
    <col min="3" max="3" width="41.81640625" style="14" customWidth="1"/>
    <col min="4" max="4" width="45.6328125" style="14" customWidth="1"/>
    <col min="5" max="5" width="26.81640625" style="21" customWidth="1"/>
    <col min="6" max="6" width="54.81640625" style="14" customWidth="1"/>
    <col min="7" max="16384" width="8.7265625" style="14"/>
  </cols>
  <sheetData>
    <row r="1" spans="1:7" ht="155.5" customHeight="1" thickBot="1" x14ac:dyDescent="0.45">
      <c r="A1" s="200" t="s">
        <v>641</v>
      </c>
      <c r="B1" s="200"/>
      <c r="C1" s="200"/>
      <c r="D1" s="200"/>
      <c r="E1" s="200"/>
      <c r="F1" s="200"/>
    </row>
    <row r="2" spans="1:7" ht="61.5" customHeight="1" x14ac:dyDescent="0.4">
      <c r="A2" s="196" t="s">
        <v>174</v>
      </c>
      <c r="B2" s="241" t="s">
        <v>49</v>
      </c>
      <c r="C2" s="106" t="s">
        <v>267</v>
      </c>
      <c r="D2" s="72" t="s">
        <v>638</v>
      </c>
      <c r="E2" s="243" t="s">
        <v>1</v>
      </c>
      <c r="F2" s="245" t="s">
        <v>18</v>
      </c>
    </row>
    <row r="3" spans="1:7" ht="40" customHeight="1" thickBot="1" x14ac:dyDescent="0.45">
      <c r="A3" s="205"/>
      <c r="B3" s="242"/>
      <c r="C3" s="111" t="s">
        <v>3</v>
      </c>
      <c r="D3" s="89" t="s">
        <v>2</v>
      </c>
      <c r="E3" s="244"/>
      <c r="F3" s="186"/>
    </row>
    <row r="4" spans="1:7" ht="40" customHeight="1" x14ac:dyDescent="0.4">
      <c r="A4" s="250" t="s">
        <v>198</v>
      </c>
      <c r="B4" s="114">
        <f>ROW()-ROW($C$3)</f>
        <v>1</v>
      </c>
      <c r="C4" s="72" t="s">
        <v>307</v>
      </c>
      <c r="D4" s="48" t="s">
        <v>268</v>
      </c>
      <c r="E4" s="49" t="s">
        <v>266</v>
      </c>
      <c r="F4" s="73" t="s">
        <v>640</v>
      </c>
    </row>
    <row r="5" spans="1:7" ht="40" customHeight="1" x14ac:dyDescent="0.4">
      <c r="A5" s="251"/>
      <c r="B5" s="115">
        <f t="shared" ref="B5:B50" si="0">ROW()-ROW($C$3)</f>
        <v>2</v>
      </c>
      <c r="C5" s="121" t="s">
        <v>373</v>
      </c>
      <c r="D5" s="128" t="s">
        <v>6</v>
      </c>
      <c r="E5" s="129" t="s">
        <v>664</v>
      </c>
      <c r="F5" s="122"/>
    </row>
    <row r="6" spans="1:7" ht="40" customHeight="1" x14ac:dyDescent="0.4">
      <c r="A6" s="251"/>
      <c r="B6" s="115">
        <f t="shared" si="0"/>
        <v>3</v>
      </c>
      <c r="C6" s="121" t="s">
        <v>388</v>
      </c>
      <c r="D6" s="128" t="s">
        <v>582</v>
      </c>
      <c r="E6" s="129" t="s">
        <v>720</v>
      </c>
      <c r="F6" s="122" t="s">
        <v>280</v>
      </c>
    </row>
    <row r="7" spans="1:7" ht="40" customHeight="1" x14ac:dyDescent="0.4">
      <c r="A7" s="251"/>
      <c r="B7" s="115">
        <f t="shared" si="0"/>
        <v>4</v>
      </c>
      <c r="C7" s="121" t="s">
        <v>389</v>
      </c>
      <c r="D7" s="128" t="s">
        <v>648</v>
      </c>
      <c r="E7" s="129" t="s">
        <v>686</v>
      </c>
      <c r="F7" s="122" t="s">
        <v>279</v>
      </c>
    </row>
    <row r="8" spans="1:7" ht="40" customHeight="1" x14ac:dyDescent="0.4">
      <c r="A8" s="251"/>
      <c r="B8" s="115">
        <f t="shared" si="0"/>
        <v>5</v>
      </c>
      <c r="C8" s="121" t="s">
        <v>476</v>
      </c>
      <c r="D8" s="128" t="s">
        <v>649</v>
      </c>
      <c r="E8" s="129" t="s">
        <v>720</v>
      </c>
      <c r="F8" s="122" t="s">
        <v>313</v>
      </c>
    </row>
    <row r="9" spans="1:7" s="37" customFormat="1" ht="40" customHeight="1" x14ac:dyDescent="0.4">
      <c r="A9" s="251"/>
      <c r="B9" s="115">
        <f t="shared" si="0"/>
        <v>6</v>
      </c>
      <c r="C9" s="41" t="s">
        <v>393</v>
      </c>
      <c r="D9" s="41" t="s">
        <v>94</v>
      </c>
      <c r="E9" s="43" t="s">
        <v>721</v>
      </c>
      <c r="F9" s="74" t="s">
        <v>253</v>
      </c>
      <c r="G9" s="36"/>
    </row>
    <row r="10" spans="1:7" ht="40" customHeight="1" x14ac:dyDescent="0.4">
      <c r="A10" s="251"/>
      <c r="B10" s="115">
        <f t="shared" si="0"/>
        <v>7</v>
      </c>
      <c r="C10" s="41" t="s">
        <v>371</v>
      </c>
      <c r="D10" s="41" t="s">
        <v>108</v>
      </c>
      <c r="E10" s="43" t="s">
        <v>4</v>
      </c>
      <c r="F10" s="74"/>
      <c r="G10" s="9"/>
    </row>
    <row r="11" spans="1:7" ht="50.5" customHeight="1" x14ac:dyDescent="0.4">
      <c r="A11" s="251"/>
      <c r="B11" s="115">
        <f t="shared" si="0"/>
        <v>8</v>
      </c>
      <c r="C11" s="41" t="s">
        <v>382</v>
      </c>
      <c r="D11" s="50" t="s">
        <v>5</v>
      </c>
      <c r="E11" s="42" t="s">
        <v>8</v>
      </c>
      <c r="F11" s="75" t="s">
        <v>518</v>
      </c>
    </row>
    <row r="12" spans="1:7" ht="40" customHeight="1" x14ac:dyDescent="0.4">
      <c r="A12" s="251"/>
      <c r="B12" s="115">
        <f t="shared" si="0"/>
        <v>9</v>
      </c>
      <c r="C12" s="41" t="s">
        <v>140</v>
      </c>
      <c r="D12" s="41" t="s">
        <v>141</v>
      </c>
      <c r="E12" s="42" t="s">
        <v>8</v>
      </c>
      <c r="F12" s="75" t="s">
        <v>519</v>
      </c>
    </row>
    <row r="13" spans="1:7" ht="40" customHeight="1" x14ac:dyDescent="0.4">
      <c r="A13" s="251"/>
      <c r="B13" s="115">
        <f t="shared" si="0"/>
        <v>10</v>
      </c>
      <c r="C13" s="41" t="s">
        <v>383</v>
      </c>
      <c r="D13" s="50" t="s">
        <v>647</v>
      </c>
      <c r="E13" s="42" t="s">
        <v>701</v>
      </c>
      <c r="F13" s="74" t="s">
        <v>642</v>
      </c>
    </row>
    <row r="14" spans="1:7" ht="40" customHeight="1" x14ac:dyDescent="0.4">
      <c r="A14" s="251"/>
      <c r="B14" s="115">
        <f t="shared" si="0"/>
        <v>11</v>
      </c>
      <c r="C14" s="121" t="s">
        <v>653</v>
      </c>
      <c r="D14" s="121" t="s">
        <v>652</v>
      </c>
      <c r="E14" s="120" t="s">
        <v>722</v>
      </c>
      <c r="F14" s="122" t="s">
        <v>642</v>
      </c>
    </row>
    <row r="15" spans="1:7" ht="40" customHeight="1" thickBot="1" x14ac:dyDescent="0.45">
      <c r="A15" s="252"/>
      <c r="B15" s="116">
        <f t="shared" si="0"/>
        <v>12</v>
      </c>
      <c r="C15" s="124" t="s">
        <v>654</v>
      </c>
      <c r="D15" s="124" t="s">
        <v>281</v>
      </c>
      <c r="E15" s="123" t="s">
        <v>708</v>
      </c>
      <c r="F15" s="125" t="s">
        <v>642</v>
      </c>
    </row>
    <row r="16" spans="1:7" ht="40" customHeight="1" x14ac:dyDescent="0.4">
      <c r="A16" s="253" t="s">
        <v>558</v>
      </c>
      <c r="B16" s="71">
        <f t="shared" si="0"/>
        <v>13</v>
      </c>
      <c r="C16" s="119" t="s">
        <v>10</v>
      </c>
      <c r="D16" s="119" t="s">
        <v>493</v>
      </c>
      <c r="E16" s="118" t="s">
        <v>737</v>
      </c>
      <c r="F16" s="139" t="s">
        <v>522</v>
      </c>
    </row>
    <row r="17" spans="1:9" ht="40" customHeight="1" x14ac:dyDescent="0.4">
      <c r="A17" s="254"/>
      <c r="B17" s="43">
        <f t="shared" si="0"/>
        <v>14</v>
      </c>
      <c r="C17" s="41" t="s">
        <v>650</v>
      </c>
      <c r="D17" s="69" t="s">
        <v>390</v>
      </c>
      <c r="E17" s="42" t="s">
        <v>530</v>
      </c>
      <c r="F17" s="74"/>
    </row>
    <row r="18" spans="1:9" s="37" customFormat="1" ht="40" customHeight="1" x14ac:dyDescent="0.4">
      <c r="A18" s="254"/>
      <c r="B18" s="43">
        <f t="shared" si="0"/>
        <v>15</v>
      </c>
      <c r="C18" s="41" t="s">
        <v>315</v>
      </c>
      <c r="D18" s="41" t="s">
        <v>314</v>
      </c>
      <c r="E18" s="42" t="s">
        <v>530</v>
      </c>
      <c r="F18" s="74"/>
      <c r="G18" s="9"/>
      <c r="H18" s="9"/>
      <c r="I18" s="9"/>
    </row>
    <row r="19" spans="1:9" ht="40" customHeight="1" x14ac:dyDescent="0.4">
      <c r="A19" s="254"/>
      <c r="B19" s="43">
        <f t="shared" si="0"/>
        <v>16</v>
      </c>
      <c r="C19" s="41" t="s">
        <v>130</v>
      </c>
      <c r="D19" s="41" t="s">
        <v>135</v>
      </c>
      <c r="E19" s="43" t="s">
        <v>4</v>
      </c>
      <c r="F19" s="74"/>
    </row>
    <row r="20" spans="1:9" ht="40" customHeight="1" x14ac:dyDescent="0.4">
      <c r="A20" s="254"/>
      <c r="B20" s="43">
        <f t="shared" si="0"/>
        <v>17</v>
      </c>
      <c r="C20" s="41" t="s">
        <v>131</v>
      </c>
      <c r="D20" s="41" t="s">
        <v>136</v>
      </c>
      <c r="E20" s="43" t="s">
        <v>4</v>
      </c>
      <c r="F20" s="74"/>
    </row>
    <row r="21" spans="1:9" ht="40" customHeight="1" x14ac:dyDescent="0.4">
      <c r="A21" s="254"/>
      <c r="B21" s="43">
        <f t="shared" si="0"/>
        <v>18</v>
      </c>
      <c r="C21" s="41" t="s">
        <v>213</v>
      </c>
      <c r="D21" s="41" t="s">
        <v>209</v>
      </c>
      <c r="E21" s="42" t="s">
        <v>205</v>
      </c>
      <c r="F21" s="74"/>
    </row>
    <row r="22" spans="1:9" ht="40" customHeight="1" x14ac:dyDescent="0.4">
      <c r="A22" s="254"/>
      <c r="B22" s="43">
        <f t="shared" si="0"/>
        <v>19</v>
      </c>
      <c r="C22" s="41" t="s">
        <v>212</v>
      </c>
      <c r="D22" s="41" t="s">
        <v>210</v>
      </c>
      <c r="E22" s="42" t="s">
        <v>205</v>
      </c>
      <c r="F22" s="74"/>
    </row>
    <row r="23" spans="1:9" ht="40" customHeight="1" x14ac:dyDescent="0.4">
      <c r="A23" s="254"/>
      <c r="B23" s="43">
        <f t="shared" si="0"/>
        <v>20</v>
      </c>
      <c r="C23" s="41" t="s">
        <v>245</v>
      </c>
      <c r="D23" s="41" t="s">
        <v>133</v>
      </c>
      <c r="E23" s="42" t="s">
        <v>205</v>
      </c>
      <c r="F23" s="74"/>
    </row>
    <row r="24" spans="1:9" ht="40" customHeight="1" x14ac:dyDescent="0.4">
      <c r="A24" s="254"/>
      <c r="B24" s="43">
        <f t="shared" ref="B24:B26" si="1">ROW()-ROW($B$3)</f>
        <v>21</v>
      </c>
      <c r="C24" s="41" t="s">
        <v>188</v>
      </c>
      <c r="D24" s="41" t="s">
        <v>227</v>
      </c>
      <c r="E24" s="42" t="s">
        <v>205</v>
      </c>
      <c r="F24" s="75"/>
    </row>
    <row r="25" spans="1:9" ht="40" customHeight="1" x14ac:dyDescent="0.4">
      <c r="A25" s="254"/>
      <c r="B25" s="43">
        <f t="shared" si="1"/>
        <v>22</v>
      </c>
      <c r="C25" s="41" t="s">
        <v>61</v>
      </c>
      <c r="D25" s="41" t="s">
        <v>62</v>
      </c>
      <c r="E25" s="43" t="s">
        <v>4</v>
      </c>
      <c r="F25" s="74"/>
    </row>
    <row r="26" spans="1:9" ht="40" customHeight="1" x14ac:dyDescent="0.4">
      <c r="A26" s="254"/>
      <c r="B26" s="43">
        <f t="shared" si="1"/>
        <v>23</v>
      </c>
      <c r="C26" s="41" t="s">
        <v>64</v>
      </c>
      <c r="D26" s="41" t="s">
        <v>65</v>
      </c>
      <c r="E26" s="43" t="s">
        <v>4</v>
      </c>
      <c r="F26" s="74"/>
    </row>
    <row r="27" spans="1:9" ht="40" customHeight="1" x14ac:dyDescent="0.4">
      <c r="A27" s="254"/>
      <c r="B27" s="43">
        <f t="shared" si="0"/>
        <v>24</v>
      </c>
      <c r="C27" s="41" t="s">
        <v>204</v>
      </c>
      <c r="D27" s="41" t="s">
        <v>134</v>
      </c>
      <c r="E27" s="42" t="s">
        <v>205</v>
      </c>
      <c r="F27" s="74"/>
    </row>
    <row r="28" spans="1:9" ht="40" customHeight="1" x14ac:dyDescent="0.4">
      <c r="A28" s="254"/>
      <c r="B28" s="43">
        <f t="shared" si="0"/>
        <v>25</v>
      </c>
      <c r="C28" s="41" t="s">
        <v>264</v>
      </c>
      <c r="D28" s="41" t="s">
        <v>265</v>
      </c>
      <c r="E28" s="42" t="s">
        <v>207</v>
      </c>
      <c r="F28" s="74" t="s">
        <v>208</v>
      </c>
    </row>
    <row r="29" spans="1:9" ht="40" customHeight="1" thickBot="1" x14ac:dyDescent="0.45">
      <c r="A29" s="255"/>
      <c r="B29" s="46">
        <f t="shared" si="0"/>
        <v>26</v>
      </c>
      <c r="C29" s="45" t="s">
        <v>481</v>
      </c>
      <c r="D29" s="45" t="s">
        <v>479</v>
      </c>
      <c r="E29" s="46" t="s">
        <v>304</v>
      </c>
      <c r="F29" s="76" t="s">
        <v>480</v>
      </c>
    </row>
    <row r="30" spans="1:9" ht="40" customHeight="1" x14ac:dyDescent="0.4">
      <c r="A30" s="201" t="s">
        <v>278</v>
      </c>
      <c r="B30" s="118">
        <f t="shared" si="0"/>
        <v>27</v>
      </c>
      <c r="C30" s="119" t="s">
        <v>274</v>
      </c>
      <c r="D30" s="119" t="s">
        <v>269</v>
      </c>
      <c r="E30" s="118" t="s">
        <v>664</v>
      </c>
      <c r="F30" s="78" t="s">
        <v>132</v>
      </c>
    </row>
    <row r="31" spans="1:9" ht="40" customHeight="1" x14ac:dyDescent="0.4">
      <c r="A31" s="194"/>
      <c r="B31" s="133">
        <f t="shared" si="0"/>
        <v>28</v>
      </c>
      <c r="C31" s="121" t="s">
        <v>275</v>
      </c>
      <c r="D31" s="121" t="s">
        <v>270</v>
      </c>
      <c r="E31" s="120" t="s">
        <v>664</v>
      </c>
      <c r="F31" s="74" t="s">
        <v>132</v>
      </c>
    </row>
    <row r="32" spans="1:9" ht="40" customHeight="1" x14ac:dyDescent="0.4">
      <c r="A32" s="194"/>
      <c r="B32" s="133">
        <f t="shared" si="0"/>
        <v>29</v>
      </c>
      <c r="C32" s="121" t="s">
        <v>790</v>
      </c>
      <c r="D32" s="121" t="s">
        <v>271</v>
      </c>
      <c r="E32" s="120" t="s">
        <v>723</v>
      </c>
      <c r="F32" s="74"/>
      <c r="G32" s="159">
        <v>46120</v>
      </c>
    </row>
    <row r="33" spans="1:7" ht="40" customHeight="1" x14ac:dyDescent="0.4">
      <c r="A33" s="194"/>
      <c r="B33" s="133">
        <f t="shared" si="0"/>
        <v>30</v>
      </c>
      <c r="C33" s="121" t="s">
        <v>791</v>
      </c>
      <c r="D33" s="121" t="s">
        <v>272</v>
      </c>
      <c r="E33" s="120" t="s">
        <v>723</v>
      </c>
      <c r="F33" s="74"/>
      <c r="G33" s="159">
        <v>46120</v>
      </c>
    </row>
    <row r="34" spans="1:7" ht="40" customHeight="1" x14ac:dyDescent="0.4">
      <c r="A34" s="194"/>
      <c r="B34" s="133">
        <f t="shared" si="0"/>
        <v>31</v>
      </c>
      <c r="C34" s="121" t="s">
        <v>792</v>
      </c>
      <c r="D34" s="121" t="s">
        <v>273</v>
      </c>
      <c r="E34" s="120" t="s">
        <v>723</v>
      </c>
      <c r="F34" s="74"/>
      <c r="G34" s="159">
        <v>46120</v>
      </c>
    </row>
    <row r="35" spans="1:7" ht="40" customHeight="1" thickBot="1" x14ac:dyDescent="0.45">
      <c r="A35" s="199"/>
      <c r="B35" s="156">
        <f t="shared" si="0"/>
        <v>32</v>
      </c>
      <c r="C35" s="124" t="s">
        <v>789</v>
      </c>
      <c r="D35" s="124" t="s">
        <v>282</v>
      </c>
      <c r="E35" s="123" t="s">
        <v>664</v>
      </c>
      <c r="F35" s="76"/>
      <c r="G35" s="159">
        <v>46120</v>
      </c>
    </row>
    <row r="36" spans="1:7" ht="40" customHeight="1" x14ac:dyDescent="0.4">
      <c r="A36" s="260" t="s">
        <v>804</v>
      </c>
      <c r="B36" s="133">
        <f t="shared" si="0"/>
        <v>33</v>
      </c>
      <c r="C36" s="132" t="s">
        <v>391</v>
      </c>
      <c r="D36" s="163" t="s">
        <v>802</v>
      </c>
      <c r="E36" s="133" t="s">
        <v>477</v>
      </c>
      <c r="F36" s="155" t="s">
        <v>478</v>
      </c>
      <c r="G36" s="159">
        <v>46120</v>
      </c>
    </row>
    <row r="37" spans="1:7" ht="40" customHeight="1" x14ac:dyDescent="0.4">
      <c r="A37" s="261"/>
      <c r="B37" s="133">
        <f t="shared" si="0"/>
        <v>34</v>
      </c>
      <c r="C37" s="121" t="s">
        <v>793</v>
      </c>
      <c r="D37" s="164" t="s">
        <v>803</v>
      </c>
      <c r="E37" s="120" t="s">
        <v>477</v>
      </c>
      <c r="F37" s="122" t="s">
        <v>478</v>
      </c>
      <c r="G37" s="159">
        <v>46120</v>
      </c>
    </row>
    <row r="38" spans="1:7" ht="40" customHeight="1" x14ac:dyDescent="0.4">
      <c r="A38" s="261"/>
      <c r="B38" s="133">
        <f t="shared" si="0"/>
        <v>35</v>
      </c>
      <c r="C38" s="121" t="s">
        <v>794</v>
      </c>
      <c r="D38" s="164" t="s">
        <v>805</v>
      </c>
      <c r="E38" s="120" t="s">
        <v>477</v>
      </c>
      <c r="F38" s="122" t="s">
        <v>478</v>
      </c>
      <c r="G38" s="159">
        <v>46120</v>
      </c>
    </row>
    <row r="39" spans="1:7" ht="40" customHeight="1" x14ac:dyDescent="0.4">
      <c r="A39" s="261"/>
      <c r="B39" s="133">
        <f t="shared" si="0"/>
        <v>36</v>
      </c>
      <c r="C39" s="121" t="s">
        <v>795</v>
      </c>
      <c r="D39" s="164" t="s">
        <v>808</v>
      </c>
      <c r="E39" s="120" t="s">
        <v>477</v>
      </c>
      <c r="F39" s="122" t="s">
        <v>478</v>
      </c>
      <c r="G39" s="159">
        <v>46120</v>
      </c>
    </row>
    <row r="40" spans="1:7" ht="40" customHeight="1" x14ac:dyDescent="0.4">
      <c r="A40" s="261"/>
      <c r="B40" s="133">
        <f t="shared" si="0"/>
        <v>37</v>
      </c>
      <c r="C40" s="121" t="s">
        <v>796</v>
      </c>
      <c r="D40" s="164" t="s">
        <v>807</v>
      </c>
      <c r="E40" s="120" t="s">
        <v>477</v>
      </c>
      <c r="F40" s="122" t="s">
        <v>478</v>
      </c>
      <c r="G40" s="159">
        <v>46120</v>
      </c>
    </row>
    <row r="41" spans="1:7" ht="40" customHeight="1" thickBot="1" x14ac:dyDescent="0.45">
      <c r="A41" s="262"/>
      <c r="B41" s="133">
        <f t="shared" si="0"/>
        <v>38</v>
      </c>
      <c r="C41" s="124" t="s">
        <v>797</v>
      </c>
      <c r="D41" s="165" t="s">
        <v>806</v>
      </c>
      <c r="E41" s="123" t="s">
        <v>477</v>
      </c>
      <c r="F41" s="125" t="s">
        <v>478</v>
      </c>
      <c r="G41" s="159">
        <v>46120</v>
      </c>
    </row>
    <row r="42" spans="1:7" ht="40" customHeight="1" x14ac:dyDescent="0.4">
      <c r="A42" s="256" t="s">
        <v>148</v>
      </c>
      <c r="B42" s="51">
        <f t="shared" si="0"/>
        <v>39</v>
      </c>
      <c r="C42" s="72" t="s">
        <v>330</v>
      </c>
      <c r="D42" s="72" t="s">
        <v>254</v>
      </c>
      <c r="E42" s="71" t="s">
        <v>106</v>
      </c>
      <c r="F42" s="73" t="s">
        <v>255</v>
      </c>
    </row>
    <row r="43" spans="1:7" s="23" customFormat="1" ht="88" customHeight="1" x14ac:dyDescent="0.4">
      <c r="A43" s="257"/>
      <c r="B43" s="51">
        <f t="shared" si="0"/>
        <v>40</v>
      </c>
      <c r="C43" s="121" t="s">
        <v>332</v>
      </c>
      <c r="D43" s="121" t="s">
        <v>91</v>
      </c>
      <c r="E43" s="120" t="s">
        <v>682</v>
      </c>
      <c r="F43" s="75" t="s">
        <v>503</v>
      </c>
    </row>
    <row r="44" spans="1:7" s="23" customFormat="1" ht="88" customHeight="1" x14ac:dyDescent="0.4">
      <c r="A44" s="257"/>
      <c r="B44" s="51">
        <f t="shared" si="0"/>
        <v>41</v>
      </c>
      <c r="C44" s="121" t="s">
        <v>331</v>
      </c>
      <c r="D44" s="121" t="s">
        <v>427</v>
      </c>
      <c r="E44" s="120" t="s">
        <v>737</v>
      </c>
      <c r="F44" s="75" t="s">
        <v>504</v>
      </c>
    </row>
    <row r="45" spans="1:7" s="23" customFormat="1" ht="88" customHeight="1" x14ac:dyDescent="0.4">
      <c r="A45" s="257"/>
      <c r="B45" s="51">
        <f t="shared" si="0"/>
        <v>42</v>
      </c>
      <c r="C45" s="121" t="s">
        <v>138</v>
      </c>
      <c r="D45" s="121" t="s">
        <v>139</v>
      </c>
      <c r="E45" s="120" t="s">
        <v>682</v>
      </c>
      <c r="F45" s="75" t="s">
        <v>505</v>
      </c>
    </row>
    <row r="46" spans="1:7" ht="88" customHeight="1" x14ac:dyDescent="0.4">
      <c r="A46" s="257"/>
      <c r="B46" s="51">
        <f t="shared" si="0"/>
        <v>43</v>
      </c>
      <c r="C46" s="121" t="s">
        <v>639</v>
      </c>
      <c r="D46" s="121" t="s">
        <v>92</v>
      </c>
      <c r="E46" s="120" t="s">
        <v>682</v>
      </c>
      <c r="F46" s="75" t="s">
        <v>506</v>
      </c>
    </row>
    <row r="47" spans="1:7" s="23" customFormat="1" ht="88" customHeight="1" x14ac:dyDescent="0.4">
      <c r="A47" s="257"/>
      <c r="B47" s="51">
        <f t="shared" si="0"/>
        <v>44</v>
      </c>
      <c r="C47" s="121" t="s">
        <v>425</v>
      </c>
      <c r="D47" s="121" t="s">
        <v>392</v>
      </c>
      <c r="E47" s="120" t="s">
        <v>675</v>
      </c>
      <c r="F47" s="75" t="s">
        <v>506</v>
      </c>
    </row>
    <row r="48" spans="1:7" s="23" customFormat="1" ht="88" customHeight="1" x14ac:dyDescent="0.4">
      <c r="A48" s="257"/>
      <c r="B48" s="51">
        <f t="shared" si="0"/>
        <v>45</v>
      </c>
      <c r="C48" s="130" t="s">
        <v>651</v>
      </c>
      <c r="D48" s="130" t="s">
        <v>508</v>
      </c>
      <c r="E48" s="120" t="s">
        <v>738</v>
      </c>
      <c r="F48" s="75" t="s">
        <v>506</v>
      </c>
    </row>
    <row r="49" spans="1:6" ht="88" customHeight="1" x14ac:dyDescent="0.4">
      <c r="A49" s="257"/>
      <c r="B49" s="51">
        <f t="shared" si="0"/>
        <v>46</v>
      </c>
      <c r="C49" s="121" t="s">
        <v>491</v>
      </c>
      <c r="D49" s="121" t="s">
        <v>235</v>
      </c>
      <c r="E49" s="120" t="s">
        <v>737</v>
      </c>
      <c r="F49" s="75" t="s">
        <v>506</v>
      </c>
    </row>
    <row r="50" spans="1:6" ht="88" customHeight="1" thickBot="1" x14ac:dyDescent="0.45">
      <c r="A50" s="258"/>
      <c r="B50" s="51">
        <f t="shared" si="0"/>
        <v>47</v>
      </c>
      <c r="C50" s="124" t="s">
        <v>256</v>
      </c>
      <c r="D50" s="124" t="s">
        <v>424</v>
      </c>
      <c r="E50" s="123" t="s">
        <v>675</v>
      </c>
      <c r="F50" s="77" t="s">
        <v>510</v>
      </c>
    </row>
    <row r="54" spans="1:6" ht="40" customHeight="1" x14ac:dyDescent="0.4">
      <c r="A54" s="30"/>
      <c r="B54" s="15"/>
      <c r="C54" s="16"/>
      <c r="D54" s="34"/>
      <c r="E54" s="15"/>
      <c r="F54" s="9"/>
    </row>
    <row r="55" spans="1:6" ht="40" customHeight="1" x14ac:dyDescent="0.4">
      <c r="A55" s="30"/>
      <c r="B55" s="15"/>
      <c r="C55" s="16"/>
      <c r="D55" s="34"/>
      <c r="E55" s="15"/>
      <c r="F55" s="17"/>
    </row>
    <row r="56" spans="1:6" ht="40" customHeight="1" x14ac:dyDescent="0.4">
      <c r="A56" s="30"/>
      <c r="B56" s="15"/>
      <c r="C56" s="16"/>
      <c r="D56" s="34"/>
      <c r="E56" s="15"/>
      <c r="F56" s="17"/>
    </row>
    <row r="57" spans="1:6" ht="40" customHeight="1" x14ac:dyDescent="0.4">
      <c r="A57" s="30"/>
      <c r="B57" s="15"/>
      <c r="C57" s="16"/>
      <c r="D57" s="34"/>
      <c r="E57" s="15"/>
      <c r="F57" s="9"/>
    </row>
    <row r="58" spans="1:6" ht="40" customHeight="1" x14ac:dyDescent="0.4">
      <c r="A58" s="30"/>
      <c r="B58" s="15"/>
      <c r="C58" s="16"/>
      <c r="D58" s="34"/>
      <c r="E58" s="15"/>
      <c r="F58" s="9"/>
    </row>
    <row r="59" spans="1:6" ht="40" customHeight="1" x14ac:dyDescent="0.4">
      <c r="A59" s="30"/>
      <c r="B59" s="15"/>
      <c r="C59" s="16"/>
      <c r="D59" s="34"/>
      <c r="E59" s="15"/>
      <c r="F59" s="9"/>
    </row>
    <row r="60" spans="1:6" ht="40" customHeight="1" x14ac:dyDescent="0.4">
      <c r="A60" s="30"/>
      <c r="B60" s="15"/>
      <c r="C60" s="16"/>
      <c r="D60" s="34"/>
      <c r="E60" s="15"/>
      <c r="F60" s="9"/>
    </row>
    <row r="61" spans="1:6" ht="40" customHeight="1" x14ac:dyDescent="0.4">
      <c r="A61" s="30"/>
      <c r="B61" s="18"/>
      <c r="C61" s="19"/>
      <c r="D61" s="19"/>
      <c r="E61" s="18"/>
      <c r="F61" s="20"/>
    </row>
    <row r="62" spans="1:6" ht="40" customHeight="1" x14ac:dyDescent="0.4">
      <c r="A62" s="259" t="s">
        <v>202</v>
      </c>
      <c r="B62" s="18"/>
      <c r="C62" s="19"/>
      <c r="D62" s="19"/>
      <c r="E62" s="18"/>
      <c r="F62" s="20"/>
    </row>
    <row r="63" spans="1:6" ht="40" customHeight="1" x14ac:dyDescent="0.4">
      <c r="A63" s="259"/>
      <c r="B63" s="18"/>
      <c r="C63" s="19"/>
      <c r="D63" s="19"/>
      <c r="E63" s="18"/>
      <c r="F63" s="20"/>
    </row>
    <row r="64" spans="1:6" ht="40" customHeight="1" x14ac:dyDescent="0.4">
      <c r="A64" s="259"/>
      <c r="B64" s="18"/>
      <c r="C64" s="19"/>
      <c r="D64" s="19"/>
      <c r="E64" s="18"/>
      <c r="F64" s="20"/>
    </row>
    <row r="65" spans="1:6" ht="40" customHeight="1" x14ac:dyDescent="0.4">
      <c r="A65" s="259"/>
      <c r="B65" s="18"/>
      <c r="C65" s="19"/>
      <c r="D65" s="19"/>
      <c r="E65" s="18"/>
      <c r="F65" s="20"/>
    </row>
    <row r="66" spans="1:6" ht="40" customHeight="1" x14ac:dyDescent="0.4">
      <c r="A66" s="259"/>
      <c r="B66" s="18"/>
      <c r="C66" s="19"/>
      <c r="D66" s="19"/>
      <c r="E66" s="18"/>
      <c r="F66" s="20"/>
    </row>
    <row r="67" spans="1:6" x14ac:dyDescent="0.4">
      <c r="A67" s="259"/>
    </row>
    <row r="68" spans="1:6" ht="21.5" x14ac:dyDescent="0.4">
      <c r="A68" s="35" t="s">
        <v>173</v>
      </c>
    </row>
    <row r="69" spans="1:6" ht="21.5" x14ac:dyDescent="0.4">
      <c r="A69" s="31"/>
    </row>
  </sheetData>
  <mergeCells count="11">
    <mergeCell ref="A1:F1"/>
    <mergeCell ref="A4:A15"/>
    <mergeCell ref="A16:A29"/>
    <mergeCell ref="A42:A50"/>
    <mergeCell ref="A62:A67"/>
    <mergeCell ref="A2:A3"/>
    <mergeCell ref="B2:B3"/>
    <mergeCell ref="E2:E3"/>
    <mergeCell ref="F2:F3"/>
    <mergeCell ref="A30:A35"/>
    <mergeCell ref="A36:A4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L16"/>
  <sheetViews>
    <sheetView topLeftCell="A4" workbookViewId="0">
      <selection activeCell="O13" sqref="O13"/>
    </sheetView>
  </sheetViews>
  <sheetFormatPr defaultRowHeight="17" x14ac:dyDescent="0.4"/>
  <sheetData>
    <row r="10" spans="1:12" x14ac:dyDescent="0.4">
      <c r="L10">
        <f>60*24</f>
        <v>1440</v>
      </c>
    </row>
    <row r="12" spans="1:12" s="2" customFormat="1" ht="40" customHeight="1" x14ac:dyDescent="0.4">
      <c r="A12" s="3">
        <v>20</v>
      </c>
      <c r="B12" s="4" t="s">
        <v>37</v>
      </c>
      <c r="C12" s="5" t="s">
        <v>42</v>
      </c>
      <c r="D12" s="3" t="s">
        <v>15</v>
      </c>
      <c r="E12" s="10"/>
      <c r="F12" s="11" t="s">
        <v>32</v>
      </c>
      <c r="G12" s="7"/>
      <c r="H12" s="7"/>
      <c r="I12" s="7"/>
    </row>
    <row r="13" spans="1:12" s="2" customFormat="1" ht="109" customHeight="1" x14ac:dyDescent="0.4">
      <c r="A13" s="3">
        <v>21</v>
      </c>
      <c r="B13" s="4" t="s">
        <v>38</v>
      </c>
      <c r="C13" s="5" t="s">
        <v>43</v>
      </c>
      <c r="D13" s="3" t="s">
        <v>27</v>
      </c>
      <c r="E13" s="10"/>
      <c r="F13" s="8" t="s">
        <v>33</v>
      </c>
      <c r="G13" s="7"/>
      <c r="H13" s="7"/>
      <c r="I13" s="7"/>
    </row>
    <row r="14" spans="1:12" s="2" customFormat="1" ht="40" customHeight="1" x14ac:dyDescent="0.4">
      <c r="A14" s="3">
        <v>22</v>
      </c>
      <c r="B14" s="4" t="s">
        <v>39</v>
      </c>
      <c r="C14" s="5" t="s">
        <v>44</v>
      </c>
      <c r="D14" s="3" t="s">
        <v>30</v>
      </c>
      <c r="E14" s="10"/>
      <c r="F14" s="8" t="s">
        <v>34</v>
      </c>
      <c r="G14" s="7"/>
      <c r="H14" s="7"/>
      <c r="I14" s="7"/>
    </row>
    <row r="15" spans="1:12" s="2" customFormat="1" ht="40" customHeight="1" x14ac:dyDescent="0.4">
      <c r="A15" s="3">
        <v>22</v>
      </c>
      <c r="B15" s="4" t="s">
        <v>40</v>
      </c>
      <c r="C15" s="5" t="s">
        <v>28</v>
      </c>
      <c r="D15" s="3"/>
      <c r="E15" s="10"/>
      <c r="F15" s="7" t="s">
        <v>36</v>
      </c>
      <c r="G15" s="7"/>
      <c r="H15" s="7"/>
      <c r="I15" s="7"/>
    </row>
    <row r="16" spans="1:12" s="2" customFormat="1" ht="40" customHeight="1" x14ac:dyDescent="0.4">
      <c r="A16" s="3">
        <v>24</v>
      </c>
      <c r="B16" s="4" t="s">
        <v>41</v>
      </c>
      <c r="C16" s="5" t="s">
        <v>29</v>
      </c>
      <c r="D16" s="3" t="s">
        <v>31</v>
      </c>
      <c r="E16" s="10"/>
      <c r="F16" s="8" t="s">
        <v>35</v>
      </c>
      <c r="G16" s="7"/>
      <c r="H16" s="7"/>
      <c r="I16" s="7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3" sqref="F23"/>
    </sheetView>
  </sheetViews>
  <sheetFormatPr defaultRowHeight="17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格式1-船位報-</vt:lpstr>
      <vt:lpstr>格式2-抵港報</vt:lpstr>
      <vt:lpstr>改式3-日電報(裝卸及等泊報及等作業報)</vt:lpstr>
      <vt:lpstr>改新增-格式4-完工報或及離港報</vt:lpstr>
      <vt:lpstr>格式5 -移泊報</vt:lpstr>
      <vt:lpstr>格式6-改-特殊情況報</vt:lpstr>
      <vt:lpstr>工作表3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</dc:creator>
  <cp:lastModifiedBy>方宭蓶</cp:lastModifiedBy>
  <cp:lastPrinted>2025-12-18T08:42:42Z</cp:lastPrinted>
  <dcterms:created xsi:type="dcterms:W3CDTF">2024-08-09T01:54:58Z</dcterms:created>
  <dcterms:modified xsi:type="dcterms:W3CDTF">2026-04-15T00:09:57Z</dcterms:modified>
</cp:coreProperties>
</file>