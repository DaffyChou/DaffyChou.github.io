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與說明" sheetId="1" state="visible" r:id="rId3"/>
    <sheet name="測試流程" sheetId="2" state="visible" r:id="rId4"/>
    <sheet name="FE-單元測試" sheetId="3" state="visible" r:id="rId5"/>
    <sheet name="FE-整合連動" sheetId="4" state="visible" r:id="rId6"/>
    <sheet name="BE-單元與API" sheetId="5" state="visible" r:id="rId7"/>
    <sheet name="BE-排程偵測引擎" sheetId="6" state="visible" r:id="rId8"/>
    <sheet name="BE-資料源接入" sheetId="7" state="visible" r:id="rId9"/>
    <sheet name="Email寄送與模板" sheetId="8" state="visible" r:id="rId10"/>
    <sheet name="定期報表內容" sheetId="9" state="visible" r:id="rId11"/>
    <sheet name="整合與E2E" sheetId="10" state="visible" r:id="rId12"/>
    <sheet name="UX操作測試" sheetId="11" state="visible" r:id="rId13"/>
    <sheet name="非功能測試" sheetId="12" state="visible" r:id="rId14"/>
  </sheets>
  <definedNames>
    <definedName function="false" hidden="true" localSheetId="4" name="_xlnm._FilterDatabase" vbProcedure="false">'BE-單元與API'!$A$1:$K$17</definedName>
    <definedName function="false" hidden="true" localSheetId="5" name="_xlnm._FilterDatabase" vbProcedure="false">'BE-排程偵測引擎'!$A$1:$K$24</definedName>
    <definedName function="false" hidden="true" localSheetId="6" name="_xlnm._FilterDatabase" vbProcedure="false">'BE-資料源接入'!$A$1:$K$14</definedName>
    <definedName function="false" hidden="true" localSheetId="7" name="_xlnm._FilterDatabase" vbProcedure="false">Email寄送與模板!$A$1:$K$13</definedName>
    <definedName function="false" hidden="true" localSheetId="2" name="_xlnm._FilterDatabase" vbProcedure="false">'FE-單元測試'!$A$1:$K$21</definedName>
    <definedName function="false" hidden="true" localSheetId="3" name="_xlnm._FilterDatabase" vbProcedure="false">'FE-整合連動'!$A$1:$K$15</definedName>
    <definedName function="false" hidden="true" localSheetId="10" name="_xlnm._FilterDatabase" vbProcedure="false">UX操作測試!$A$1:$K$12</definedName>
    <definedName function="false" hidden="true" localSheetId="8" name="_xlnm._FilterDatabase" vbProcedure="false">定期報表內容!$A$1:$K$15</definedName>
    <definedName function="false" hidden="true" localSheetId="9" name="_xlnm._FilterDatabase" vbProcedure="false">整合與E2E!$A$1:$K$8</definedName>
    <definedName function="false" hidden="true" localSheetId="1" name="_xlnm._FilterDatabase" vbProcedure="false">測試流程!$A$1:$G$11</definedName>
    <definedName function="false" hidden="true" localSheetId="11" name="_xlnm._FilterDatabase" vbProcedure="false">非功能測試!$A$1:$K$12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<sst xmlns="http://schemas.openxmlformats.org/spreadsheetml/2006/main" count="1483" uniqueCount="826">
  <si>
    <t xml:space="preserve">警報設定系統 — 測試流程與測試清單</t>
  </si>
  <si>
    <r>
      <rPr>
        <sz val="10"/>
        <color rgb="FF595959"/>
        <rFont val="Noto Sans CJK SC"/>
        <family val="2"/>
      </rPr>
      <t xml:space="preserve">對象</t>
    </r>
    <r>
      <rPr>
        <sz val="10"/>
        <color rgb="FF595959"/>
        <rFont val="Arial"/>
        <family val="0"/>
        <charset val="1"/>
      </rPr>
      <t xml:space="preserve">:</t>
    </r>
    <r>
      <rPr>
        <sz val="10"/>
        <color rgb="FF595959"/>
        <rFont val="Noto Sans CJK SC"/>
        <family val="2"/>
      </rPr>
      <t xml:space="preserve">摯陞 </t>
    </r>
    <r>
      <rPr>
        <sz val="10"/>
        <color rgb="FF595959"/>
        <rFont val="Arial"/>
        <family val="0"/>
        <charset val="1"/>
      </rPr>
      <t xml:space="preserve">SRP </t>
    </r>
    <r>
      <rPr>
        <sz val="10"/>
        <color rgb="FF595959"/>
        <rFont val="Noto Sans CJK SC"/>
        <family val="2"/>
      </rPr>
      <t xml:space="preserve">船隊戰情室監控系統｜功能規格參考</t>
    </r>
    <r>
      <rPr>
        <sz val="10"/>
        <color rgb="FF595959"/>
        <rFont val="Arial"/>
        <family val="0"/>
        <charset val="1"/>
      </rPr>
      <t xml:space="preserve">:alert_demo.html</t>
    </r>
  </si>
  <si>
    <r>
      <rPr>
        <sz val="10"/>
        <color rgb="FF595959"/>
        <rFont val="Noto Sans CJK SC"/>
        <family val="2"/>
      </rPr>
      <t xml:space="preserve">範圍</t>
    </r>
    <r>
      <rPr>
        <sz val="10"/>
        <color rgb="FF595959"/>
        <rFont val="Arial"/>
        <family val="0"/>
        <charset val="1"/>
      </rPr>
      <t xml:space="preserve">:</t>
    </r>
    <r>
      <rPr>
        <sz val="10"/>
        <color rgb="FF595959"/>
        <rFont val="Noto Sans CJK SC"/>
        <family val="2"/>
      </rPr>
      <t xml:space="preserve">前端 </t>
    </r>
    <r>
      <rPr>
        <sz val="10"/>
        <color rgb="FF595959"/>
        <rFont val="Arial"/>
        <family val="0"/>
        <charset val="1"/>
      </rPr>
      <t xml:space="preserve">UI + </t>
    </r>
    <r>
      <rPr>
        <sz val="10"/>
        <color rgb="FF595959"/>
        <rFont val="Noto Sans CJK SC"/>
        <family val="2"/>
      </rPr>
      <t xml:space="preserve">後端 </t>
    </r>
    <r>
      <rPr>
        <sz val="10"/>
        <color rgb="FF595959"/>
        <rFont val="Arial"/>
        <family val="0"/>
        <charset val="1"/>
      </rPr>
      <t xml:space="preserve">API / </t>
    </r>
    <r>
      <rPr>
        <sz val="10"/>
        <color rgb="FF595959"/>
        <rFont val="Noto Sans CJK SC"/>
        <family val="2"/>
      </rPr>
      <t xml:space="preserve">排程偵測引擎 </t>
    </r>
    <r>
      <rPr>
        <sz val="10"/>
        <color rgb="FF595959"/>
        <rFont val="Arial"/>
        <family val="0"/>
        <charset val="1"/>
      </rPr>
      <t xml:space="preserve">/ </t>
    </r>
    <r>
      <rPr>
        <sz val="10"/>
        <color rgb="FF595959"/>
        <rFont val="Noto Sans CJK SC"/>
        <family val="2"/>
      </rPr>
      <t xml:space="preserve">資料源 </t>
    </r>
    <r>
      <rPr>
        <sz val="10"/>
        <color rgb="FF595959"/>
        <rFont val="Arial"/>
        <family val="0"/>
        <charset val="1"/>
      </rPr>
      <t xml:space="preserve">/ Email </t>
    </r>
    <r>
      <rPr>
        <sz val="10"/>
        <color rgb="FF595959"/>
        <rFont val="Noto Sans CJK SC"/>
        <family val="2"/>
      </rPr>
      <t xml:space="preserve">寄送 </t>
    </r>
    <r>
      <rPr>
        <sz val="10"/>
        <color rgb="FF595959"/>
        <rFont val="Arial"/>
        <family val="0"/>
        <charset val="1"/>
      </rPr>
      <t xml:space="preserve">/ </t>
    </r>
    <r>
      <rPr>
        <sz val="10"/>
        <color rgb="FF595959"/>
        <rFont val="Noto Sans CJK SC"/>
        <family val="2"/>
      </rPr>
      <t xml:space="preserve">整合 </t>
    </r>
    <r>
      <rPr>
        <sz val="10"/>
        <color rgb="FF595959"/>
        <rFont val="Arial"/>
        <family val="0"/>
        <charset val="1"/>
      </rPr>
      <t xml:space="preserve">E2E / </t>
    </r>
    <r>
      <rPr>
        <sz val="10"/>
        <color rgb="FF595959"/>
        <rFont val="Noto Sans CJK SC"/>
        <family val="2"/>
      </rPr>
      <t xml:space="preserve">非功能</t>
    </r>
  </si>
  <si>
    <t xml:space="preserve">使用說明</t>
  </si>
  <si>
    <r>
      <rPr>
        <sz val="10"/>
        <rFont val="Arial"/>
        <family val="0"/>
        <charset val="1"/>
      </rPr>
      <t xml:space="preserve">1. alert_demo.html </t>
    </r>
    <r>
      <rPr>
        <sz val="10"/>
        <rFont val="Noto Sans CJK SC"/>
        <family val="2"/>
      </rPr>
      <t xml:space="preserve">為「功能規格參考」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真實系統含後端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清單同時涵蓋前端行為與後端邏輯。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</si>
  <si>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各分頁「結果」欄以下拉選 未測 </t>
    </r>
    <r>
      <rPr>
        <sz val="10"/>
        <rFont val="Arial"/>
        <family val="0"/>
        <charset val="1"/>
      </rPr>
      <t xml:space="preserve">/ Pass / Fail / Blocked / N/A;Fail </t>
    </r>
    <r>
      <rPr>
        <sz val="10"/>
        <rFont val="Noto Sans CJK SC"/>
        <family val="2"/>
      </rPr>
      <t xml:space="preserve">請於「缺陷編號」填單號。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</si>
  <si>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優先級</t>
    </r>
    <r>
      <rPr>
        <sz val="10"/>
        <rFont val="Arial"/>
        <family val="0"/>
        <charset val="1"/>
      </rPr>
      <t xml:space="preserve">:P0 </t>
    </r>
    <r>
      <rPr>
        <sz val="10"/>
        <rFont val="Noto Sans CJK SC"/>
        <family val="2"/>
      </rPr>
      <t xml:space="preserve">阻斷、</t>
    </r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嚴重、</t>
    </r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一般、</t>
    </r>
    <r>
      <rPr>
        <sz val="10"/>
        <rFont val="Arial"/>
        <family val="0"/>
        <charset val="1"/>
      </rPr>
      <t xml:space="preserve">P3 </t>
    </r>
    <r>
      <rPr>
        <sz val="10"/>
        <rFont val="Noto Sans CJK SC"/>
        <family val="2"/>
      </rPr>
      <t xml:space="preserve">輕微。測試類型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正常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邊界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異常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相容性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效能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安全。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</si>
  <si>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建議依「測試流程」分頁的階段順序執行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各階段達退出條件才進入下一階段。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</si>
  <si>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客戶版 </t>
    </r>
    <r>
      <rPr>
        <sz val="10"/>
        <rFont val="Arial"/>
        <family val="0"/>
        <charset val="1"/>
      </rPr>
      <t xml:space="preserve">(IS_INTERNAL=false) </t>
    </r>
    <r>
      <rPr>
        <sz val="10"/>
        <rFont val="Noto Sans CJK SC"/>
        <family val="2"/>
      </rPr>
      <t xml:space="preserve">與內部版 </t>
    </r>
    <r>
      <rPr>
        <sz val="10"/>
        <rFont val="Arial"/>
        <family val="0"/>
        <charset val="1"/>
      </rPr>
      <t xml:space="preserve">(IS_INTERNAL=true) </t>
    </r>
    <r>
      <rPr>
        <sz val="10"/>
        <rFont val="Noto Sans CJK SC"/>
        <family val="2"/>
      </rPr>
      <t xml:space="preserve">各跑一輪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隱藏欄位 </t>
    </r>
    <r>
      <rPr>
        <sz val="10"/>
        <rFont val="Arial"/>
        <family val="0"/>
        <charset val="1"/>
      </rPr>
      <t xml:space="preserve">spd_rpm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zone </t>
    </r>
    <r>
      <rPr>
        <sz val="10"/>
        <rFont val="Noto Sans CJK SC"/>
        <family val="2"/>
      </rPr>
      <t xml:space="preserve">僅內部版。</t>
    </r>
  </si>
  <si>
    <r>
      <rPr>
        <b val="true"/>
        <sz val="12"/>
        <color rgb="FFFFFFFF"/>
        <rFont val="Noto Sans CJK SC"/>
        <family val="2"/>
      </rPr>
      <t xml:space="preserve">測試進度總覽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SC"/>
        <family val="2"/>
      </rPr>
      <t xml:space="preserve">依分頁統計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</si>
  <si>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測試分頁</t>
  </si>
  <si>
    <t xml:space="preserve">案例數</t>
  </si>
  <si>
    <t xml:space="preserve">Pass</t>
  </si>
  <si>
    <t xml:space="preserve">Fail</t>
  </si>
  <si>
    <t xml:space="preserve">Blocked</t>
  </si>
  <si>
    <t xml:space="preserve">通過率</t>
  </si>
  <si>
    <r>
      <rPr>
        <sz val="10"/>
        <rFont val="Arial"/>
        <family val="0"/>
        <charset val="1"/>
      </rPr>
      <t xml:space="preserve">FE-</t>
    </r>
    <r>
      <rPr>
        <sz val="10"/>
        <rFont val="Noto Sans CJK SC"/>
        <family val="2"/>
      </rPr>
      <t xml:space="preserve">單元測試</t>
    </r>
  </si>
  <si>
    <r>
      <rPr>
        <sz val="10"/>
        <rFont val="Arial"/>
        <family val="0"/>
        <charset val="1"/>
      </rPr>
      <t xml:space="preserve">FE-</t>
    </r>
    <r>
      <rPr>
        <sz val="10"/>
        <rFont val="Noto Sans CJK SC"/>
        <family val="2"/>
      </rPr>
      <t xml:space="preserve">整合連動</t>
    </r>
  </si>
  <si>
    <r>
      <rPr>
        <sz val="10"/>
        <rFont val="Arial"/>
        <family val="0"/>
        <charset val="1"/>
      </rPr>
      <t xml:space="preserve">BE-</t>
    </r>
    <r>
      <rPr>
        <sz val="10"/>
        <rFont val="Noto Sans CJK SC"/>
        <family val="2"/>
      </rPr>
      <t xml:space="preserve">單元與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</si>
  <si>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BE-</t>
    </r>
    <r>
      <rPr>
        <sz val="10"/>
        <rFont val="Noto Sans CJK SC"/>
        <family val="2"/>
      </rPr>
      <t xml:space="preserve">排程偵測引擎</t>
    </r>
  </si>
  <si>
    <r>
      <rPr>
        <sz val="10"/>
        <rFont val="Arial"/>
        <family val="0"/>
        <charset val="1"/>
      </rPr>
      <t xml:space="preserve">BE-</t>
    </r>
    <r>
      <rPr>
        <sz val="10"/>
        <rFont val="Noto Sans CJK SC"/>
        <family val="2"/>
      </rPr>
      <t xml:space="preserve">資料源接入</t>
    </r>
  </si>
  <si>
    <r>
      <rPr>
        <sz val="10"/>
        <rFont val="Arial"/>
        <family val="0"/>
        <charset val="1"/>
      </rPr>
      <t xml:space="preserve">Email</t>
    </r>
    <r>
      <rPr>
        <sz val="10"/>
        <rFont val="Noto Sans CJK SC"/>
        <family val="2"/>
      </rPr>
      <t xml:space="preserve">寄送與模板</t>
    </r>
  </si>
  <si>
    <t xml:space="preserve">定期報表內容</t>
  </si>
  <si>
    <r>
      <rPr>
        <sz val="10"/>
        <rFont val="Noto Sans CJK SC"/>
        <family val="2"/>
      </rPr>
      <t xml:space="preserve">整合與</t>
    </r>
    <r>
      <rPr>
        <sz val="10"/>
        <rFont val="Arial"/>
        <family val="0"/>
        <charset val="1"/>
      </rPr>
      <t xml:space="preserve">E2E</t>
    </r>
  </si>
  <si>
    <r>
      <rPr>
        <sz val="10"/>
        <rFont val="Arial"/>
        <family val="0"/>
        <charset val="1"/>
      </rPr>
      <t xml:space="preserve">UX</t>
    </r>
    <r>
      <rPr>
        <sz val="10"/>
        <rFont val="Noto Sans CJK SC"/>
        <family val="2"/>
      </rPr>
      <t xml:space="preserve">操作測試</t>
    </r>
  </si>
  <si>
    <t xml:space="preserve">非功能測試</t>
  </si>
  <si>
    <t xml:space="preserve">合計</t>
  </si>
  <si>
    <t xml:space="preserve">階段</t>
  </si>
  <si>
    <t xml:space="preserve">目標</t>
  </si>
  <si>
    <t xml:space="preserve">進入條件</t>
  </si>
  <si>
    <t xml:space="preserve">主要活動</t>
  </si>
  <si>
    <t xml:space="preserve">產出物</t>
  </si>
  <si>
    <t xml:space="preserve">退出條件</t>
  </si>
  <si>
    <t xml:space="preserve">負責角色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</si>
  <si>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需求確認與規劃</t>
    </r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</si>
  <si>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alert_demo.html </t>
    </r>
    <r>
      <rPr>
        <sz val="10"/>
        <rFont val="Noto Sans CJK SC"/>
        <family val="2"/>
      </rPr>
      <t xml:space="preserve">為功能基準鎖定規格</t>
    </r>
  </si>
  <si>
    <r>
      <rPr>
        <sz val="10"/>
        <rFont val="Noto Sans CJK SC"/>
        <family val="2"/>
      </rPr>
      <t xml:space="preserve">取得參考 </t>
    </r>
    <r>
      <rPr>
        <sz val="10"/>
        <rFont val="Arial"/>
        <family val="0"/>
        <charset val="1"/>
      </rPr>
      <t xml:space="preserve">Demo </t>
    </r>
    <r>
      <rPr>
        <sz val="10"/>
        <rFont val="Noto Sans CJK SC"/>
        <family val="2"/>
      </rPr>
      <t xml:space="preserve">與資料源清單</t>
    </r>
  </si>
  <si>
    <r>
      <rPr>
        <sz val="10"/>
        <rFont val="Noto Sans CJK SC"/>
        <family val="2"/>
      </rPr>
      <t xml:space="preserve">確認警報類型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欄位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頻率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通知規則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盤點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與資料源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撰寫測試計畫與案例</t>
    </r>
  </si>
  <si>
    <t xml:space="preserve">測試計畫、測試案例清單</t>
  </si>
  <si>
    <t xml:space="preserve">案例評審通過、環境就緒</t>
  </si>
  <si>
    <r>
      <rPr>
        <sz val="10"/>
        <rFont val="Arial"/>
        <family val="0"/>
        <charset val="1"/>
      </rPr>
      <t xml:space="preserve">PM/QA/</t>
    </r>
    <r>
      <rPr>
        <sz val="10"/>
        <rFont val="Noto Sans CJK SC"/>
        <family val="2"/>
      </rPr>
      <t xml:space="preserve">前後端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</si>
  <si>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前端單元測試</t>
    </r>
  </si>
  <si>
    <t xml:space="preserve">驗證元件與純函式行為</t>
  </si>
  <si>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元件與函式可獨立執行</t>
    </r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</si>
  <si>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jsdom </t>
    </r>
    <r>
      <rPr>
        <sz val="10"/>
        <rFont val="Noto Sans CJK SC"/>
        <family val="2"/>
      </rPr>
      <t xml:space="preserve">測試描述函式、連動函式、</t>
    </r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模板函式</t>
    </r>
  </si>
  <si>
    <t xml:space="preserve">前端單測報告</t>
  </si>
  <si>
    <r>
      <rPr>
        <sz val="10"/>
        <rFont val="Noto Sans CJK SC"/>
        <family val="2"/>
      </rPr>
      <t xml:space="preserve">覆蓋率達標、無 </t>
    </r>
    <r>
      <rPr>
        <sz val="10"/>
        <rFont val="Arial"/>
        <family val="0"/>
        <charset val="1"/>
      </rPr>
      <t xml:space="preserve">console error</t>
    </r>
  </si>
  <si>
    <t xml:space="preserve">前端</t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</si>
  <si>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後端單元</t>
    </r>
    <r>
      <rPr>
        <b val="true"/>
        <sz val="10"/>
        <rFont val="Arial"/>
        <family val="0"/>
        <charset val="1"/>
      </rPr>
      <t xml:space="preserve">/API </t>
    </r>
    <r>
      <rPr>
        <b val="true"/>
        <sz val="10"/>
        <rFont val="Noto Sans CJK SC"/>
        <family val="2"/>
      </rPr>
      <t xml:space="preserve">合約</t>
    </r>
  </si>
  <si>
    <r>
      <rPr>
        <sz val="10"/>
        <rFont val="Noto Sans CJK SC"/>
        <family val="2"/>
      </rPr>
      <t xml:space="preserve">驗證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正確性與資料驗證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</si>
  <si>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介面與 </t>
    </r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凍結</t>
    </r>
  </si>
  <si>
    <t xml:space="preserve">單元測試、合約測試、輸入驗證、權限</t>
  </si>
  <si>
    <r>
      <rPr>
        <sz val="10"/>
        <rFont val="Noto Sans CJK SC"/>
        <family val="2"/>
      </rPr>
      <t xml:space="preserve">後端單測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合約報告</t>
    </r>
  </si>
  <si>
    <r>
      <rPr>
        <sz val="10"/>
        <rFont val="Noto Sans CJK SC"/>
        <family val="2"/>
      </rPr>
      <t xml:space="preserve">全案例綠、</t>
    </r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一致</t>
    </r>
  </si>
  <si>
    <t xml:space="preserve">後端</t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</si>
  <si>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整合測試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前後端</t>
    </r>
    <r>
      <rPr>
        <b val="true"/>
        <sz val="10"/>
        <rFont val="Arial"/>
        <family val="0"/>
        <charset val="1"/>
      </rPr>
      <t xml:space="preserve">)</t>
    </r>
  </si>
  <si>
    <t xml:space="preserve">驗證前端呼叫後端串接</t>
  </si>
  <si>
    <t xml:space="preserve">前後端可連通</t>
  </si>
  <si>
    <r>
      <rPr>
        <sz val="10"/>
        <rFont val="Noto Sans CJK SC"/>
        <family val="2"/>
      </rPr>
      <t xml:space="preserve">建立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查詢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編輯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刪除警報、</t>
    </r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預覽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串接</t>
    </r>
  </si>
  <si>
    <t xml:space="preserve">整合測試報告</t>
  </si>
  <si>
    <t xml:space="preserve">主流程串接無誤</t>
  </si>
  <si>
    <r>
      <rPr>
        <sz val="10"/>
        <rFont val="Noto Sans CJK SC"/>
        <family val="2"/>
      </rPr>
      <t xml:space="preserve">前後端</t>
    </r>
    <r>
      <rPr>
        <sz val="10"/>
        <rFont val="Arial"/>
        <family val="0"/>
        <charset val="1"/>
      </rPr>
      <t xml:space="preserve">/QA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</si>
  <si>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Noto Sans CJK SC"/>
        <family val="2"/>
      </rPr>
      <t xml:space="preserve">排程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偵測引擎</t>
    </r>
  </si>
  <si>
    <t xml:space="preserve">驗證排程與觸發判定</t>
  </si>
  <si>
    <t xml:space="preserve">引擎可注入模擬資料</t>
  </si>
  <si>
    <t xml:space="preserve">模擬各頻率與觸發條件、誤報抑制、解除通報</t>
  </si>
  <si>
    <t xml:space="preserve">引擎驗證報告</t>
  </si>
  <si>
    <r>
      <rPr>
        <sz val="10"/>
        <rFont val="Noto Sans CJK SC"/>
        <family val="2"/>
      </rPr>
      <t xml:space="preserve">各情境如期觸發、無漏觸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誤觸</t>
    </r>
  </si>
  <si>
    <r>
      <rPr>
        <sz val="10"/>
        <rFont val="Noto Sans CJK SC"/>
        <family val="2"/>
      </rPr>
      <t xml:space="preserve">後端</t>
    </r>
    <r>
      <rPr>
        <sz val="10"/>
        <rFont val="Arial"/>
        <family val="0"/>
        <charset val="1"/>
      </rPr>
      <t xml:space="preserve">/QA</t>
    </r>
  </si>
  <si>
    <r>
      <rPr>
        <b val="true"/>
        <sz val="10"/>
        <rFont val="Arial"/>
        <family val="0"/>
        <charset val="1"/>
      </rPr>
      <t xml:space="preserve">6. Email </t>
    </r>
    <r>
      <rPr>
        <b val="true"/>
        <sz val="10"/>
        <rFont val="Noto Sans CJK SC"/>
        <family val="2"/>
      </rPr>
      <t xml:space="preserve">寄送</t>
    </r>
  </si>
  <si>
    <t xml:space="preserve">驗證真實寄送與相容性</t>
  </si>
  <si>
    <r>
      <rPr>
        <sz val="10"/>
        <rFont val="Arial"/>
        <family val="0"/>
        <charset val="1"/>
      </rPr>
      <t xml:space="preserve">SMTP/</t>
    </r>
    <r>
      <rPr>
        <sz val="10"/>
        <rFont val="Noto Sans CJK SC"/>
        <family val="2"/>
      </rPr>
      <t xml:space="preserve">寄送服務就緒</t>
    </r>
  </si>
  <si>
    <t xml:space="preserve">多客戶端寄送、模板渲染、退信重試</t>
  </si>
  <si>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相容性報告</t>
    </r>
  </si>
  <si>
    <t xml:space="preserve">主要客戶端版面正確</t>
  </si>
  <si>
    <r>
      <rPr>
        <b val="true"/>
        <sz val="10"/>
        <rFont val="Arial"/>
        <family val="0"/>
        <charset val="1"/>
      </rPr>
      <t xml:space="preserve">7. </t>
    </r>
    <r>
      <rPr>
        <b val="true"/>
        <sz val="10"/>
        <rFont val="Noto Sans CJK SC"/>
        <family val="2"/>
      </rPr>
      <t xml:space="preserve">系統 </t>
    </r>
    <r>
      <rPr>
        <b val="true"/>
        <sz val="10"/>
        <rFont val="Arial"/>
        <family val="0"/>
        <charset val="1"/>
      </rPr>
      <t xml:space="preserve">/ E2E</t>
    </r>
  </si>
  <si>
    <t xml:space="preserve">驗證完整使用情境</t>
  </si>
  <si>
    <t xml:space="preserve">整合環境部署完成</t>
  </si>
  <si>
    <r>
      <rPr>
        <sz val="10"/>
        <rFont val="Noto Sans CJK SC"/>
        <family val="2"/>
      </rPr>
      <t xml:space="preserve">客戶版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內部版四類警報全鏈路情境</t>
    </r>
  </si>
  <si>
    <r>
      <rPr>
        <sz val="10"/>
        <rFont val="Arial"/>
        <family val="0"/>
        <charset val="1"/>
      </rPr>
      <t xml:space="preserve">E2E </t>
    </r>
    <r>
      <rPr>
        <sz val="10"/>
        <rFont val="Noto Sans CJK SC"/>
        <family val="2"/>
      </rPr>
      <t xml:space="preserve">測試報告</t>
    </r>
  </si>
  <si>
    <t xml:space="preserve">全鏈路情境通過</t>
  </si>
  <si>
    <t xml:space="preserve">QA</t>
  </si>
  <si>
    <r>
      <rPr>
        <b val="true"/>
        <sz val="10"/>
        <rFont val="Arial"/>
        <family val="0"/>
        <charset val="1"/>
      </rPr>
      <t xml:space="preserve">8. UX / </t>
    </r>
    <r>
      <rPr>
        <b val="true"/>
        <sz val="10"/>
        <rFont val="Noto Sans CJK SC"/>
        <family val="2"/>
      </rPr>
      <t xml:space="preserve">操作測試</t>
    </r>
  </si>
  <si>
    <t xml:space="preserve">驗證真實操作體驗</t>
  </si>
  <si>
    <t xml:space="preserve">可操作的整合環境</t>
  </si>
  <si>
    <t xml:space="preserve">真人操作、鍵盤、響應式、防呆、錯誤回饋</t>
  </si>
  <si>
    <r>
      <rPr>
        <sz val="10"/>
        <rFont val="Arial"/>
        <family val="0"/>
        <charset val="1"/>
      </rPr>
      <t xml:space="preserve">UX </t>
    </r>
    <r>
      <rPr>
        <sz val="10"/>
        <rFont val="Noto Sans CJK SC"/>
        <family val="2"/>
      </rPr>
      <t xml:space="preserve">缺陷清單</t>
    </r>
  </si>
  <si>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P0/P1 UX </t>
    </r>
    <r>
      <rPr>
        <sz val="10"/>
        <rFont val="Noto Sans CJK SC"/>
        <family val="2"/>
      </rPr>
      <t xml:space="preserve">缺陷</t>
    </r>
  </si>
  <si>
    <t xml:space="preserve">QA/UX</t>
  </si>
  <si>
    <r>
      <rPr>
        <b val="true"/>
        <sz val="10"/>
        <rFont val="Arial"/>
        <family val="0"/>
        <charset val="1"/>
      </rPr>
      <t xml:space="preserve">9. </t>
    </r>
    <r>
      <rPr>
        <b val="true"/>
        <sz val="10"/>
        <rFont val="Noto Sans CJK SC"/>
        <family val="2"/>
      </rPr>
      <t xml:space="preserve">非功能測試</t>
    </r>
  </si>
  <si>
    <r>
      <rPr>
        <sz val="10"/>
        <rFont val="Noto Sans CJK SC"/>
        <family val="2"/>
      </rPr>
      <t xml:space="preserve">驗證相容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效能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安全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可靠</t>
    </r>
  </si>
  <si>
    <t xml:space="preserve">整合環境與壓測工具</t>
  </si>
  <si>
    <t xml:space="preserve">跨瀏覽器、負載、安全掃描、故障降級</t>
  </si>
  <si>
    <t xml:space="preserve">非功能測試報告</t>
  </si>
  <si>
    <t xml:space="preserve">達非功能指標</t>
  </si>
  <si>
    <r>
      <rPr>
        <sz val="10"/>
        <rFont val="Arial"/>
        <family val="0"/>
        <charset val="1"/>
      </rPr>
      <t xml:space="preserve">QA/SRE/</t>
    </r>
    <r>
      <rPr>
        <sz val="10"/>
        <rFont val="Noto Sans CJK SC"/>
        <family val="2"/>
      </rPr>
      <t xml:space="preserve">資安</t>
    </r>
  </si>
  <si>
    <r>
      <rPr>
        <b val="true"/>
        <sz val="10"/>
        <rFont val="Arial"/>
        <family val="0"/>
        <charset val="1"/>
      </rPr>
      <t xml:space="preserve">10. </t>
    </r>
    <r>
      <rPr>
        <b val="true"/>
        <sz val="10"/>
        <rFont val="Noto Sans CJK SC"/>
        <family val="2"/>
      </rPr>
      <t xml:space="preserve">回歸與驗收 </t>
    </r>
    <r>
      <rPr>
        <b val="true"/>
        <sz val="10"/>
        <rFont val="Arial"/>
        <family val="0"/>
        <charset val="1"/>
      </rPr>
      <t xml:space="preserve">(UAT)</t>
    </r>
  </si>
  <si>
    <t xml:space="preserve">確認可交付</t>
  </si>
  <si>
    <t xml:space="preserve">前述階段缺陷收斂</t>
  </si>
  <si>
    <r>
      <rPr>
        <sz val="10"/>
        <rFont val="Noto Sans CJK SC"/>
        <family val="2"/>
      </rPr>
      <t xml:space="preserve">回歸全案例、客戶版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內部版驗收</t>
    </r>
  </si>
  <si>
    <t xml:space="preserve">驗收簽核文件</t>
  </si>
  <si>
    <t xml:space="preserve">缺陷收斂、客戶簽核</t>
  </si>
  <si>
    <r>
      <rPr>
        <sz val="10"/>
        <rFont val="Arial"/>
        <family val="0"/>
        <charset val="1"/>
      </rPr>
      <t xml:space="preserve">PM/QA/</t>
    </r>
    <r>
      <rPr>
        <sz val="10"/>
        <rFont val="Noto Sans CJK SC"/>
        <family val="2"/>
      </rPr>
      <t xml:space="preserve">客戶</t>
    </r>
  </si>
  <si>
    <t xml:space="preserve">編號</t>
  </si>
  <si>
    <r>
      <rPr>
        <b val="true"/>
        <sz val="11"/>
        <color rgb="FFFFFFFF"/>
        <rFont val="Noto Sans CJK SC"/>
        <family val="2"/>
      </rPr>
      <t xml:space="preserve">模組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功能</t>
    </r>
  </si>
  <si>
    <t xml:space="preserve">測試項目</t>
  </si>
  <si>
    <t xml:space="preserve">測試類型</t>
  </si>
  <si>
    <t xml:space="preserve">前置條件</t>
  </si>
  <si>
    <t xml:space="preserve">測試步驟</t>
  </si>
  <si>
    <t xml:space="preserve">預期結果</t>
  </si>
  <si>
    <t xml:space="preserve">優先級</t>
  </si>
  <si>
    <t xml:space="preserve">結果</t>
  </si>
  <si>
    <t xml:space="preserve">缺陷編號</t>
  </si>
  <si>
    <t xml:space="preserve">備註</t>
  </si>
  <si>
    <t xml:space="preserve">U-01</t>
  </si>
  <si>
    <t xml:space="preserve">三層連動</t>
  </si>
  <si>
    <r>
      <rPr>
        <sz val="10"/>
        <rFont val="Noto Sans CJK SC"/>
        <family val="2"/>
      </rPr>
      <t xml:space="preserve">客戶版初始化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預設航次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進出港狀態、系統管理員預設勾選、定時面板顯示</t>
    </r>
  </si>
  <si>
    <t xml:space="preserve">正常</t>
  </si>
  <si>
    <t xml:space="preserve">載入頁面</t>
  </si>
  <si>
    <r>
      <rPr>
        <sz val="10"/>
        <rFont val="Noto Sans CJK SC"/>
        <family val="2"/>
      </rPr>
      <t xml:space="preserve">預設值與 </t>
    </r>
    <r>
      <rPr>
        <sz val="10"/>
        <rFont val="Arial"/>
        <family val="0"/>
        <charset val="1"/>
      </rPr>
      <t xml:space="preserve">switchType(voyage) </t>
    </r>
    <r>
      <rPr>
        <sz val="10"/>
        <rFont val="Noto Sans CJK SC"/>
        <family val="2"/>
      </rPr>
      <t xml:space="preserve">一致</t>
    </r>
  </si>
  <si>
    <t xml:space="preserve">P1</t>
  </si>
  <si>
    <t xml:space="preserve">未測</t>
  </si>
  <si>
    <t xml:space="preserve">U-02</t>
  </si>
  <si>
    <t xml:space="preserve">欄位清單</t>
  </si>
  <si>
    <r>
      <rPr>
        <sz val="10"/>
        <rFont val="Noto Sans CJK SC"/>
        <family val="2"/>
      </rPr>
      <t xml:space="preserve">航次客戶版顯示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欄位且與提案一致</t>
    </r>
  </si>
  <si>
    <t xml:space="preserve">客戶版航次</t>
  </si>
  <si>
    <t xml:space="preserve">檢視欄位下拉</t>
  </si>
  <si>
    <r>
      <rPr>
        <sz val="10"/>
        <rFont val="Noto Sans CJK SC"/>
        <family val="2"/>
      </rPr>
      <t xml:space="preserve">進出港</t>
    </r>
    <r>
      <rPr>
        <sz val="10"/>
        <rFont val="Arial"/>
        <family val="0"/>
        <charset val="1"/>
      </rPr>
      <t xml:space="preserve">/ETA/</t>
    </r>
    <r>
      <rPr>
        <sz val="10"/>
        <rFont val="Noto Sans CJK SC"/>
        <family val="2"/>
      </rPr>
      <t xml:space="preserve">航線偏移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惡劣海況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船速異常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含</t>
    </r>
    <r>
      <rPr>
        <sz val="10"/>
        <rFont val="Arial"/>
        <family val="0"/>
        <charset val="1"/>
      </rPr>
      <t xml:space="preserve">RPM),</t>
    </r>
    <r>
      <rPr>
        <sz val="10"/>
        <rFont val="Noto Sans CJK SC"/>
        <family val="2"/>
      </rPr>
      <t xml:space="preserve">不含限制區域</t>
    </r>
  </si>
  <si>
    <t xml:space="preserve">P0</t>
  </si>
  <si>
    <t xml:space="preserve">U-03</t>
  </si>
  <si>
    <r>
      <rPr>
        <sz val="10"/>
        <rFont val="Arial"/>
        <family val="0"/>
        <charset val="1"/>
      </rPr>
      <t xml:space="preserve">Bunker </t>
    </r>
    <r>
      <rPr>
        <sz val="10"/>
        <rFont val="Noto Sans CJK SC"/>
        <family val="2"/>
      </rPr>
      <t xml:space="preserve">客戶版顯示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欄位且與提案一致</t>
    </r>
  </si>
  <si>
    <r>
      <rPr>
        <sz val="10"/>
        <rFont val="Noto Sans CJK SC"/>
        <family val="2"/>
      </rPr>
      <t xml:space="preserve">客戶版 </t>
    </r>
    <r>
      <rPr>
        <sz val="10"/>
        <rFont val="Arial"/>
        <family val="0"/>
        <charset val="1"/>
      </rPr>
      <t xml:space="preserve">Bunker</t>
    </r>
  </si>
  <si>
    <r>
      <rPr>
        <sz val="10"/>
        <rFont val="Noto Sans CJK SC"/>
        <family val="2"/>
      </rPr>
      <t xml:space="preserve">最低庫存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油耗異常偏高</t>
    </r>
    <r>
      <rPr>
        <sz val="10"/>
        <rFont val="Arial"/>
        <family val="0"/>
        <charset val="1"/>
      </rPr>
      <t xml:space="preserve">/ECA</t>
    </r>
    <r>
      <rPr>
        <sz val="10"/>
        <rFont val="Noto Sans CJK SC"/>
        <family val="2"/>
      </rPr>
      <t xml:space="preserve">低硫油切換</t>
    </r>
  </si>
  <si>
    <t xml:space="preserve">U-04</t>
  </si>
  <si>
    <t xml:space="preserve">觸發條件</t>
  </si>
  <si>
    <r>
      <rPr>
        <sz val="10"/>
        <rFont val="Arial"/>
        <family val="0"/>
        <charset val="1"/>
      </rPr>
      <t xml:space="preserve">buildTrigger </t>
    </r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parts </t>
    </r>
    <r>
      <rPr>
        <sz val="10"/>
        <rFont val="Noto Sans CJK SC"/>
        <family val="2"/>
      </rPr>
      <t xml:space="preserve">產生正確元件數與型別</t>
    </r>
  </si>
  <si>
    <t xml:space="preserve">切換各欄位</t>
  </si>
  <si>
    <t xml:space="preserve">切換每個欄位</t>
  </si>
  <si>
    <r>
      <rPr>
        <sz val="10"/>
        <rFont val="Arial"/>
        <family val="0"/>
        <charset val="1"/>
      </rPr>
      <t xml:space="preserve">label/select/number </t>
    </r>
    <r>
      <rPr>
        <sz val="10"/>
        <rFont val="Noto Sans CJK SC"/>
        <family val="2"/>
      </rPr>
      <t xml:space="preserve">數量與型別正確</t>
    </r>
  </si>
  <si>
    <t xml:space="preserve">U-05</t>
  </si>
  <si>
    <r>
      <rPr>
        <sz val="10"/>
        <rFont val="Arial"/>
        <family val="0"/>
        <charset val="1"/>
      </rPr>
      <t xml:space="preserve">select/number </t>
    </r>
    <r>
      <rPr>
        <sz val="10"/>
        <rFont val="Noto Sans CJK SC"/>
        <family val="2"/>
      </rPr>
      <t xml:space="preserve">變更同步 </t>
    </r>
    <r>
      <rPr>
        <sz val="10"/>
        <rFont val="Arial"/>
        <family val="0"/>
        <charset val="1"/>
      </rPr>
      <t xml:space="preserve">state.vals</t>
    </r>
  </si>
  <si>
    <t xml:space="preserve">選定欄位</t>
  </si>
  <si>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select </t>
    </r>
    <r>
      <rPr>
        <sz val="10"/>
        <rFont val="Noto Sans CJK SC"/>
        <family val="2"/>
      </rPr>
      <t xml:space="preserve">與輸入數值</t>
    </r>
  </si>
  <si>
    <r>
      <rPr>
        <sz val="10"/>
        <rFont val="Arial"/>
        <family val="0"/>
        <charset val="1"/>
      </rPr>
      <t xml:space="preserve">state.vals </t>
    </r>
    <r>
      <rPr>
        <sz val="10"/>
        <rFont val="Noto Sans CJK SC"/>
        <family val="2"/>
      </rPr>
      <t xml:space="preserve">與摘要「何時觸發」即時更新</t>
    </r>
  </si>
  <si>
    <t xml:space="preserve">U-06</t>
  </si>
  <si>
    <t xml:space="preserve">描述函式</t>
  </si>
  <si>
    <r>
      <rPr>
        <sz val="10"/>
        <rFont val="Arial"/>
        <family val="0"/>
        <charset val="1"/>
      </rPr>
      <t xml:space="preserve">getDetectDescription </t>
    </r>
    <r>
      <rPr>
        <sz val="10"/>
        <rFont val="Noto Sans CJK SC"/>
        <family val="2"/>
      </rPr>
      <t xml:space="preserve">四模式輸出格式正確</t>
    </r>
  </si>
  <si>
    <t xml:space="preserve">-</t>
  </si>
  <si>
    <r>
      <rPr>
        <sz val="10"/>
        <rFont val="Noto Sans CJK SC"/>
        <family val="2"/>
      </rPr>
      <t xml:space="preserve">分別測定時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每天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每周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每月</t>
    </r>
  </si>
  <si>
    <t xml:space="preserve">輸出字串符合格式</t>
  </si>
  <si>
    <t xml:space="preserve">P2</t>
  </si>
  <si>
    <t xml:space="preserve">U-07</t>
  </si>
  <si>
    <r>
      <rPr>
        <sz val="10"/>
        <rFont val="Noto Sans CJK SC"/>
        <family val="2"/>
      </rPr>
      <t xml:space="preserve">偵測頻率空值套用預設 </t>
    </r>
    <r>
      <rPr>
        <sz val="10"/>
        <rFont val="Arial"/>
        <family val="0"/>
        <charset val="1"/>
      </rPr>
      <t xml:space="preserve">(00:00/6/1)</t>
    </r>
  </si>
  <si>
    <t xml:space="preserve">邊界</t>
  </si>
  <si>
    <t xml:space="preserve">清空輸入欄</t>
  </si>
  <si>
    <t xml:space="preserve">回退預設值字串</t>
  </si>
  <si>
    <t xml:space="preserve">U-08</t>
  </si>
  <si>
    <r>
      <rPr>
        <sz val="10"/>
        <rFont val="Noto Sans CJK SC"/>
        <family val="2"/>
      </rPr>
      <t xml:space="preserve">每周未選星期顯示「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未選擇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</t>
    </r>
  </si>
  <si>
    <t xml:space="preserve">每周模式</t>
  </si>
  <si>
    <t xml:space="preserve">取消所有星期</t>
  </si>
  <si>
    <r>
      <rPr>
        <sz val="10"/>
        <rFont val="Noto Sans CJK SC"/>
        <family val="2"/>
      </rPr>
      <t xml:space="preserve">顯示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未選擇</t>
    </r>
    <r>
      <rPr>
        <sz val="10"/>
        <rFont val="Arial"/>
        <family val="0"/>
        <charset val="1"/>
      </rPr>
      <t xml:space="preserve">)</t>
    </r>
  </si>
  <si>
    <t xml:space="preserve">U-09</t>
  </si>
  <si>
    <r>
      <rPr>
        <sz val="10"/>
        <rFont val="Arial"/>
        <family val="0"/>
        <charset val="1"/>
      </rPr>
      <t xml:space="preserve">getFreqDescription </t>
    </r>
    <r>
      <rPr>
        <sz val="10"/>
        <rFont val="Noto Sans CJK SC"/>
        <family val="2"/>
      </rPr>
      <t xml:space="preserve">五模式輸出正確</t>
    </r>
  </si>
  <si>
    <r>
      <rPr>
        <sz val="10"/>
        <rFont val="Noto Sans CJK SC"/>
        <family val="2"/>
      </rPr>
      <t xml:space="preserve">測 </t>
    </r>
    <r>
      <rPr>
        <sz val="10"/>
        <rFont val="Arial"/>
        <family val="0"/>
        <charset val="1"/>
      </rPr>
      <t xml:space="preserve">once/repeat/daily-fixed/weekly/monthly</t>
    </r>
  </si>
  <si>
    <r>
      <rPr>
        <sz val="10"/>
        <rFont val="Noto Sans CJK SC"/>
        <family val="2"/>
      </rPr>
      <t xml:space="preserve">字串正確含間隔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上限</t>
    </r>
  </si>
  <si>
    <t xml:space="preserve">U-10</t>
  </si>
  <si>
    <r>
      <rPr>
        <sz val="10"/>
        <rFont val="Arial"/>
        <family val="0"/>
        <charset val="1"/>
      </rPr>
      <t xml:space="preserve">getScopeDescription:</t>
    </r>
    <r>
      <rPr>
        <sz val="10"/>
        <rFont val="Noto Sans CJK SC"/>
        <family val="2"/>
      </rPr>
      <t xml:space="preserve">全船隊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單船未選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複選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船員三模式</t>
    </r>
  </si>
  <si>
    <r>
      <rPr>
        <sz val="10"/>
        <rFont val="Noto Sans CJK SC"/>
        <family val="2"/>
      </rPr>
      <t xml:space="preserve">正常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邊界</t>
    </r>
  </si>
  <si>
    <t xml:space="preserve">切換各範圍</t>
  </si>
  <si>
    <r>
      <rPr>
        <sz val="10"/>
        <rFont val="Noto Sans CJK SC"/>
        <family val="2"/>
      </rPr>
      <t xml:space="preserve">全船隊、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未選擇船舶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、以、串接、船員三模式正確</t>
    </r>
  </si>
  <si>
    <t xml:space="preserve">U-11</t>
  </si>
  <si>
    <r>
      <rPr>
        <sz val="10"/>
        <rFont val="Arial"/>
        <family val="0"/>
        <charset val="1"/>
      </rPr>
      <t xml:space="preserve">getNotifDescription </t>
    </r>
    <r>
      <rPr>
        <sz val="10"/>
        <rFont val="Noto Sans CJK SC"/>
        <family val="2"/>
      </rPr>
      <t xml:space="preserve">四組合與 </t>
    </r>
    <r>
      <rPr>
        <sz val="10"/>
        <rFont val="Arial"/>
        <family val="0"/>
        <charset val="1"/>
      </rPr>
      <t xml:space="preserve">Mail </t>
    </r>
    <r>
      <rPr>
        <sz val="10"/>
        <rFont val="Noto Sans CJK SC"/>
        <family val="2"/>
      </rPr>
      <t xml:space="preserve">未填</t>
    </r>
  </si>
  <si>
    <t xml:space="preserve">勾選組合切換</t>
  </si>
  <si>
    <r>
      <rPr>
        <sz val="10"/>
        <rFont val="Noto Sans CJK SC"/>
        <family val="2"/>
      </rPr>
      <t xml:space="preserve">僅內部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僅</t>
    </r>
    <r>
      <rPr>
        <sz val="10"/>
        <rFont val="Arial"/>
        <family val="0"/>
        <charset val="1"/>
      </rPr>
      <t xml:space="preserve">Mail/</t>
    </r>
    <r>
      <rPr>
        <sz val="10"/>
        <rFont val="Noto Sans CJK SC"/>
        <family val="2"/>
      </rPr>
      <t xml:space="preserve">兩者</t>
    </r>
    <r>
      <rPr>
        <sz val="10"/>
        <rFont val="Arial"/>
        <family val="0"/>
        <charset val="1"/>
      </rPr>
      <t xml:space="preserve">/(</t>
    </r>
    <r>
      <rPr>
        <sz val="10"/>
        <rFont val="Noto Sans CJK SC"/>
        <family val="2"/>
      </rPr>
      <t xml:space="preserve">未設定</t>
    </r>
    <r>
      <rPr>
        <sz val="10"/>
        <rFont val="Arial"/>
        <family val="0"/>
        <charset val="1"/>
      </rPr>
      <t xml:space="preserve">)/(</t>
    </r>
    <r>
      <rPr>
        <sz val="10"/>
        <rFont val="Noto Sans CJK SC"/>
        <family val="2"/>
      </rPr>
      <t xml:space="preserve">未填寫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正確</t>
    </r>
  </si>
  <si>
    <t xml:space="preserve">U-12</t>
  </si>
  <si>
    <t xml:space="preserve">頻率預設</t>
  </si>
  <si>
    <r>
      <rPr>
        <sz val="10"/>
        <rFont val="Arial"/>
        <family val="0"/>
        <charset val="1"/>
      </rPr>
      <t xml:space="preserve">applyFreqPreset </t>
    </r>
    <r>
      <rPr>
        <sz val="10"/>
        <rFont val="Noto Sans CJK SC"/>
        <family val="2"/>
      </rPr>
      <t xml:space="preserve">各欄位套用值與 </t>
    </r>
    <r>
      <rPr>
        <sz val="10"/>
        <rFont val="Arial"/>
        <family val="0"/>
        <charset val="1"/>
      </rPr>
      <t xml:space="preserve">FREQ_PRESETS </t>
    </r>
    <r>
      <rPr>
        <sz val="10"/>
        <rFont val="Noto Sans CJK SC"/>
        <family val="2"/>
      </rPr>
      <t xml:space="preserve">一致</t>
    </r>
  </si>
  <si>
    <t xml:space="preserve">逐欄位切換</t>
  </si>
  <si>
    <r>
      <rPr>
        <sz val="10"/>
        <rFont val="Noto Sans CJK SC"/>
        <family val="2"/>
      </rPr>
      <t xml:space="preserve">偵測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警報 </t>
    </r>
    <r>
      <rPr>
        <sz val="10"/>
        <rFont val="Arial"/>
        <family val="0"/>
        <charset val="1"/>
      </rPr>
      <t xml:space="preserve">mode </t>
    </r>
    <r>
      <rPr>
        <sz val="10"/>
        <rFont val="Noto Sans CJK SC"/>
        <family val="2"/>
      </rPr>
      <t xml:space="preserve">與子欄位值正確</t>
    </r>
  </si>
  <si>
    <t xml:space="preserve">U-13</t>
  </si>
  <si>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標籤</t>
    </r>
  </si>
  <si>
    <r>
      <rPr>
        <sz val="10"/>
        <rFont val="Arial"/>
        <family val="0"/>
        <charset val="1"/>
      </rPr>
      <t xml:space="preserve">addEmail </t>
    </r>
    <r>
      <rPr>
        <sz val="10"/>
        <rFont val="Noto Sans CJK SC"/>
        <family val="2"/>
      </rPr>
      <t xml:space="preserve">去前後空白、去尾逗號、重複不加、空不加</t>
    </r>
  </si>
  <si>
    <r>
      <rPr>
        <sz val="10"/>
        <rFont val="Noto Sans CJK SC"/>
        <family val="2"/>
      </rPr>
      <t xml:space="preserve">自訂 </t>
    </r>
    <r>
      <rPr>
        <sz val="10"/>
        <rFont val="Arial"/>
        <family val="0"/>
        <charset val="1"/>
      </rPr>
      <t xml:space="preserve">Mail</t>
    </r>
  </si>
  <si>
    <r>
      <rPr>
        <sz val="10"/>
        <rFont val="Noto Sans CJK SC"/>
        <family val="2"/>
      </rPr>
      <t xml:space="preserve">輸入含空白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逗號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重複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空值</t>
    </r>
  </si>
  <si>
    <t xml:space="preserve">去重與清理正確</t>
  </si>
  <si>
    <t xml:space="preserve">U-14</t>
  </si>
  <si>
    <r>
      <rPr>
        <sz val="10"/>
        <rFont val="Arial"/>
        <family val="0"/>
        <charset val="1"/>
      </rPr>
      <t xml:space="preserve">removeEmail / Backspace </t>
    </r>
    <r>
      <rPr>
        <sz val="10"/>
        <rFont val="Noto Sans CJK SC"/>
        <family val="2"/>
      </rPr>
      <t xml:space="preserve">刪除最後一筆</t>
    </r>
  </si>
  <si>
    <t xml:space="preserve">已有標籤</t>
  </si>
  <si>
    <r>
      <rPr>
        <sz val="10"/>
        <rFont val="Noto Sans CJK SC"/>
        <family val="2"/>
      </rPr>
      <t xml:space="preserve">點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與空輸入按 </t>
    </r>
    <r>
      <rPr>
        <sz val="10"/>
        <rFont val="Arial"/>
        <family val="0"/>
        <charset val="1"/>
      </rPr>
      <t xml:space="preserve">Backspace</t>
    </r>
  </si>
  <si>
    <t xml:space="preserve">正確移除</t>
  </si>
  <si>
    <t xml:space="preserve">U-15</t>
  </si>
  <si>
    <t xml:space="preserve">安全</t>
  </si>
  <si>
    <r>
      <rPr>
        <sz val="10"/>
        <rFont val="Arial"/>
        <family val="0"/>
        <charset val="1"/>
      </rPr>
      <t xml:space="preserve">escapeHtml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&amp; &lt; &gt; " </t>
    </r>
    <r>
      <rPr>
        <sz val="10"/>
        <rFont val="Noto Sans CJK SC"/>
        <family val="2"/>
      </rPr>
      <t xml:space="preserve">轉義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標籤以 </t>
    </r>
    <r>
      <rPr>
        <sz val="10"/>
        <rFont val="Arial"/>
        <family val="0"/>
        <charset val="1"/>
      </rPr>
      <t xml:space="preserve">innerHTML </t>
    </r>
    <r>
      <rPr>
        <sz val="10"/>
        <rFont val="Noto Sans CJK SC"/>
        <family val="2"/>
      </rPr>
      <t xml:space="preserve">插入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</si>
  <si>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輸入 </t>
    </r>
    <r>
      <rPr>
        <sz val="10"/>
        <rFont val="Arial"/>
        <family val="0"/>
        <charset val="1"/>
      </rPr>
      <t xml:space="preserve">&lt;img src=x onerror=alert(1)&gt;</t>
    </r>
  </si>
  <si>
    <r>
      <rPr>
        <sz val="10"/>
        <rFont val="Noto Sans CJK SC"/>
        <family val="2"/>
      </rPr>
      <t xml:space="preserve">以純文字顯示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不執行</t>
    </r>
  </si>
  <si>
    <t xml:space="preserve">U-16</t>
  </si>
  <si>
    <t xml:space="preserve">欄位列表</t>
  </si>
  <si>
    <r>
      <rPr>
        <sz val="10"/>
        <rFont val="Arial"/>
        <family val="0"/>
        <charset val="1"/>
      </rPr>
      <t xml:space="preserve">genericDesc </t>
    </r>
    <r>
      <rPr>
        <sz val="10"/>
        <rFont val="Noto Sans CJK SC"/>
        <family val="2"/>
      </rPr>
      <t xml:space="preserve">產生 </t>
    </r>
    <r>
      <rPr>
        <sz val="10"/>
        <rFont val="Arial"/>
        <family val="0"/>
        <charset val="1"/>
      </rPr>
      <t xml:space="preserve">[A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B]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數值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佔位</t>
    </r>
  </si>
  <si>
    <t xml:space="preserve">檢視欄位列表</t>
  </si>
  <si>
    <t xml:space="preserve">佔位字串正確</t>
  </si>
  <si>
    <t xml:space="preserve">P3</t>
  </si>
  <si>
    <t xml:space="preserve">U-17</t>
  </si>
  <si>
    <t xml:space="preserve">警報名稱</t>
  </si>
  <si>
    <r>
      <rPr>
        <sz val="10"/>
        <rFont val="Arial"/>
        <family val="0"/>
        <charset val="1"/>
      </rPr>
      <t xml:space="preserve">placeholder </t>
    </r>
    <r>
      <rPr>
        <sz val="10"/>
        <rFont val="Noto Sans CJK SC"/>
        <family val="2"/>
      </rPr>
      <t xml:space="preserve">自動生成「欄位名稱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觸發描述」</t>
    </r>
  </si>
  <si>
    <r>
      <rPr>
        <sz val="10"/>
        <rFont val="Noto Sans CJK SC"/>
        <family val="2"/>
      </rPr>
      <t xml:space="preserve">切換欄位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改觸發</t>
    </r>
  </si>
  <si>
    <r>
      <rPr>
        <sz val="10"/>
        <rFont val="Arial"/>
        <family val="0"/>
        <charset val="1"/>
      </rPr>
      <t xml:space="preserve">placeholder </t>
    </r>
    <r>
      <rPr>
        <sz val="10"/>
        <rFont val="Noto Sans CJK SC"/>
        <family val="2"/>
      </rPr>
      <t xml:space="preserve">同步更新</t>
    </r>
  </si>
  <si>
    <t xml:space="preserve">U-18</t>
  </si>
  <si>
    <r>
      <rPr>
        <sz val="10"/>
        <rFont val="Noto Sans CJK SC"/>
        <family val="2"/>
      </rPr>
      <t xml:space="preserve">標題顯示「— 共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個可用欄位」</t>
    </r>
  </si>
  <si>
    <t xml:space="preserve">切換類型</t>
  </si>
  <si>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與可見欄位數一致</t>
    </r>
  </si>
  <si>
    <t xml:space="preserve">U-19</t>
  </si>
  <si>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模板</t>
    </r>
  </si>
  <si>
    <r>
      <rPr>
        <sz val="10"/>
        <rFont val="Arial"/>
        <family val="0"/>
        <charset val="1"/>
      </rPr>
      <t xml:space="preserve">unsubBlock </t>
    </r>
    <r>
      <rPr>
        <sz val="10"/>
        <rFont val="Noto Sans CJK SC"/>
        <family val="2"/>
      </rPr>
      <t xml:space="preserve">僅持續發送類顯示解除連結</t>
    </r>
  </si>
  <si>
    <r>
      <rPr>
        <sz val="10"/>
        <rFont val="Noto Sans CJK SC"/>
        <family val="2"/>
      </rPr>
      <t xml:space="preserve">預覽 </t>
    </r>
    <r>
      <rPr>
        <sz val="10"/>
        <rFont val="Arial"/>
        <family val="0"/>
        <charset val="1"/>
      </rPr>
      <t xml:space="preserve">gate(</t>
    </r>
    <r>
      <rPr>
        <sz val="10"/>
        <rFont val="Noto Sans CJK SC"/>
        <family val="2"/>
      </rPr>
      <t xml:space="preserve">一次性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eta(</t>
    </r>
    <r>
      <rPr>
        <sz val="10"/>
        <rFont val="Noto Sans CJK SC"/>
        <family val="2"/>
      </rPr>
      <t xml:space="preserve">重複</t>
    </r>
    <r>
      <rPr>
        <sz val="10"/>
        <rFont val="Arial"/>
        <family val="0"/>
        <charset val="1"/>
      </rPr>
      <t xml:space="preserve">)</t>
    </r>
  </si>
  <si>
    <t xml:space="preserve">一次性無連結、重複類有連結</t>
  </si>
  <si>
    <t xml:space="preserve">U-20</t>
  </si>
  <si>
    <r>
      <rPr>
        <sz val="10"/>
        <rFont val="Noto Sans CJK SC"/>
        <family val="2"/>
      </rPr>
      <t xml:space="preserve">客戶版 </t>
    </r>
    <r>
      <rPr>
        <sz val="10"/>
        <rFont val="Arial"/>
        <family val="0"/>
        <charset val="1"/>
      </rPr>
      <t xml:space="preserve">aiBlock/actionsBlock </t>
    </r>
    <r>
      <rPr>
        <sz val="10"/>
        <rFont val="Noto Sans CJK SC"/>
        <family val="2"/>
      </rPr>
      <t xml:space="preserve">回空字串</t>
    </r>
  </si>
  <si>
    <t xml:space="preserve">IS_INTERNAL=false</t>
  </si>
  <si>
    <r>
      <rPr>
        <sz val="10"/>
        <rFont val="Noto Sans CJK SC"/>
        <family val="2"/>
      </rPr>
      <t xml:space="preserve">預覽 </t>
    </r>
    <r>
      <rPr>
        <sz val="10"/>
        <rFont val="Arial"/>
        <family val="0"/>
        <charset val="1"/>
      </rPr>
      <t xml:space="preserve">Email</t>
    </r>
  </si>
  <si>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研判與建議動作區塊</t>
    </r>
  </si>
  <si>
    <t xml:space="preserve">FI-01</t>
  </si>
  <si>
    <t xml:space="preserve">類型切換</t>
  </si>
  <si>
    <t xml:space="preserve">警報類型下拉切換觸發完整連鎖</t>
  </si>
  <si>
    <t xml:space="preserve">任一類型</t>
  </si>
  <si>
    <t xml:space="preserve">改「警報類型」下拉</t>
  </si>
  <si>
    <r>
      <rPr>
        <sz val="10"/>
        <rFont val="Noto Sans CJK SC"/>
        <family val="2"/>
      </rPr>
      <t xml:space="preserve">重建欄位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套預設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範圍</t>
    </r>
    <r>
      <rPr>
        <sz val="10"/>
        <rFont val="Arial"/>
        <family val="0"/>
        <charset val="1"/>
      </rPr>
      <t xml:space="preserve">UI/</t>
    </r>
    <r>
      <rPr>
        <sz val="10"/>
        <rFont val="Noto Sans CJK SC"/>
        <family val="2"/>
      </rPr>
      <t xml:space="preserve">摘要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列表標題</t>
    </r>
  </si>
  <si>
    <t xml:space="preserve">FI-02</t>
  </si>
  <si>
    <r>
      <rPr>
        <sz val="10"/>
        <rFont val="Noto Sans CJK SC"/>
        <family val="2"/>
      </rPr>
      <t xml:space="preserve">介面無頁簽</t>
    </r>
    <r>
      <rPr>
        <sz val="10"/>
        <rFont val="Arial"/>
        <family val="0"/>
        <charset val="1"/>
      </rPr>
      <t xml:space="preserve">(Tabs),</t>
    </r>
    <r>
      <rPr>
        <sz val="10"/>
        <rFont val="Noto Sans CJK SC"/>
        <family val="2"/>
      </rPr>
      <t xml:space="preserve">類型僅由下拉切換</t>
    </r>
  </si>
  <si>
    <t xml:space="preserve">真實版介面</t>
  </si>
  <si>
    <t xml:space="preserve">檢視畫面頂部</t>
  </si>
  <si>
    <r>
      <rPr>
        <sz val="10"/>
        <rFont val="Noto Sans CJK SC"/>
        <family val="2"/>
      </rPr>
      <t xml:space="preserve">無頁簽列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切換僅靠下拉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對齊真實功能</t>
    </r>
    <r>
      <rPr>
        <sz val="10"/>
        <rFont val="Arial"/>
        <family val="0"/>
        <charset val="1"/>
      </rPr>
      <t xml:space="preserve">)</t>
    </r>
  </si>
  <si>
    <t xml:space="preserve">FI-03</t>
  </si>
  <si>
    <t xml:space="preserve">欄位切換</t>
  </si>
  <si>
    <r>
      <rPr>
        <sz val="10"/>
        <rFont val="Noto Sans CJK SC"/>
        <family val="2"/>
      </rPr>
      <t xml:space="preserve">改欄位重建觸發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套預設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摘要</t>
    </r>
    <r>
      <rPr>
        <sz val="10"/>
        <rFont val="Arial"/>
        <family val="0"/>
        <charset val="1"/>
      </rPr>
      <t xml:space="preserve">+placeholder</t>
    </r>
  </si>
  <si>
    <t xml:space="preserve">改警報欄位下拉</t>
  </si>
  <si>
    <t xml:space="preserve">三者同步更新</t>
  </si>
  <si>
    <t xml:space="preserve">FI-04</t>
  </si>
  <si>
    <t xml:space="preserve">範圍連動</t>
  </si>
  <si>
    <r>
      <rPr>
        <sz val="10"/>
        <rFont val="Noto Sans CJK SC"/>
        <family val="2"/>
      </rPr>
      <t xml:space="preserve">全船隊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單船切換顯示船舶複選框</t>
    </r>
  </si>
  <si>
    <r>
      <rPr>
        <sz val="10"/>
        <rFont val="Noto Sans CJK SC"/>
        <family val="2"/>
      </rPr>
      <t xml:space="preserve">航次</t>
    </r>
    <r>
      <rPr>
        <sz val="10"/>
        <rFont val="Arial"/>
        <family val="0"/>
        <charset val="1"/>
      </rPr>
      <t xml:space="preserve">/CII/Bunker</t>
    </r>
  </si>
  <si>
    <t xml:space="preserve">切到單船</t>
  </si>
  <si>
    <r>
      <rPr>
        <sz val="10"/>
        <rFont val="Noto Sans CJK SC"/>
        <family val="2"/>
      </rPr>
      <t xml:space="preserve">複選框顯示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摘要更新</t>
    </r>
  </si>
  <si>
    <t xml:space="preserve">FI-05</t>
  </si>
  <si>
    <r>
      <rPr>
        <sz val="10"/>
        <rFont val="Noto Sans CJK SC"/>
        <family val="2"/>
      </rPr>
      <t xml:space="preserve">船員型個人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職等顯示對應標籤</t>
    </r>
  </si>
  <si>
    <t xml:space="preserve">船員類型</t>
  </si>
  <si>
    <r>
      <rPr>
        <sz val="10"/>
        <rFont val="Noto Sans CJK SC"/>
        <family val="2"/>
      </rPr>
      <t xml:space="preserve">切換全體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個人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職等</t>
    </r>
  </si>
  <si>
    <r>
      <rPr>
        <sz val="10"/>
        <rFont val="Noto Sans CJK SC"/>
        <family val="2"/>
      </rPr>
      <t xml:space="preserve">對應標籤區顯示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摘要文字改變</t>
    </r>
  </si>
  <si>
    <t xml:space="preserve">FI-06</t>
  </si>
  <si>
    <t xml:space="preserve">偵測頻率</t>
  </si>
  <si>
    <r>
      <rPr>
        <sz val="10"/>
        <rFont val="Arial"/>
        <family val="0"/>
        <charset val="1"/>
      </rPr>
      <t xml:space="preserve">mode </t>
    </r>
    <r>
      <rPr>
        <sz val="10"/>
        <rFont val="Noto Sans CJK SC"/>
        <family val="2"/>
      </rPr>
      <t xml:space="preserve">切換僅顯示對應子面板</t>
    </r>
  </si>
  <si>
    <t xml:space="preserve">切換四模式</t>
  </si>
  <si>
    <r>
      <rPr>
        <sz val="10"/>
        <rFont val="Noto Sans CJK SC"/>
        <family val="2"/>
      </rPr>
      <t xml:space="preserve">僅對應 </t>
    </r>
    <r>
      <rPr>
        <sz val="10"/>
        <rFont val="Arial"/>
        <family val="0"/>
        <charset val="1"/>
      </rPr>
      <t xml:space="preserve">.mode-sub </t>
    </r>
    <r>
      <rPr>
        <sz val="10"/>
        <rFont val="Noto Sans CJK SC"/>
        <family val="2"/>
      </rPr>
      <t xml:space="preserve">顯示</t>
    </r>
  </si>
  <si>
    <t xml:space="preserve">FI-07</t>
  </si>
  <si>
    <r>
      <rPr>
        <sz val="10"/>
        <rFont val="Noto Sans CJK SC"/>
        <family val="2"/>
      </rPr>
      <t xml:space="preserve">星期挑選器多選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取消同步描述</t>
    </r>
  </si>
  <si>
    <t xml:space="preserve">點多個星期再取消</t>
  </si>
  <si>
    <t xml:space="preserve">描述以、串接、即時更新</t>
  </si>
  <si>
    <t xml:space="preserve">FI-08</t>
  </si>
  <si>
    <t xml:space="preserve">警報頻率</t>
  </si>
  <si>
    <t xml:space="preserve">切換五模式</t>
  </si>
  <si>
    <t xml:space="preserve">僅對應子面板顯示</t>
  </si>
  <si>
    <t xml:space="preserve">FI-09</t>
  </si>
  <si>
    <t xml:space="preserve">通知連動</t>
  </si>
  <si>
    <t xml:space="preserve">勾選展開區塊並更新摘要通知對象</t>
  </si>
  <si>
    <r>
      <rPr>
        <sz val="10"/>
        <rFont val="Noto Sans CJK SC"/>
        <family val="2"/>
      </rPr>
      <t xml:space="preserve">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取消 內部使用者與自訂</t>
    </r>
    <r>
      <rPr>
        <sz val="10"/>
        <rFont val="Arial"/>
        <family val="0"/>
        <charset val="1"/>
      </rPr>
      <t xml:space="preserve">Mail</t>
    </r>
  </si>
  <si>
    <r>
      <rPr>
        <sz val="10"/>
        <rFont val="Noto Sans CJK SC"/>
        <family val="2"/>
      </rPr>
      <t xml:space="preserve">區塊展開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收合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摘要同步</t>
    </r>
  </si>
  <si>
    <t xml:space="preserve">FI-10</t>
  </si>
  <si>
    <t xml:space="preserve">Select2</t>
  </si>
  <si>
    <r>
      <rPr>
        <sz val="10"/>
        <rFont val="Arial"/>
        <family val="0"/>
        <charset val="1"/>
      </rPr>
      <t xml:space="preserve">ships/users </t>
    </r>
    <r>
      <rPr>
        <sz val="10"/>
        <rFont val="Noto Sans CJK SC"/>
        <family val="2"/>
      </rPr>
      <t xml:space="preserve">變更觸發摘要更新</t>
    </r>
  </si>
  <si>
    <r>
      <rPr>
        <sz val="10"/>
        <rFont val="Noto Sans CJK SC"/>
        <family val="2"/>
      </rPr>
      <t xml:space="preserve">複選船舶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使用者</t>
    </r>
  </si>
  <si>
    <t xml:space="preserve">摘要即時反映</t>
  </si>
  <si>
    <t xml:space="preserve">FI-11</t>
  </si>
  <si>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預覽</t>
    </r>
  </si>
  <si>
    <r>
      <rPr>
        <sz val="10"/>
        <rFont val="Noto Sans CJK SC"/>
        <family val="2"/>
      </rPr>
      <t xml:space="preserve">串接所有 </t>
    </r>
    <r>
      <rPr>
        <sz val="10"/>
        <rFont val="Arial"/>
        <family val="0"/>
        <charset val="1"/>
      </rPr>
      <t xml:space="preserve">state </t>
    </r>
    <r>
      <rPr>
        <sz val="10"/>
        <rFont val="Noto Sans CJK SC"/>
        <family val="2"/>
      </rPr>
      <t xml:space="preserve">生成 </t>
    </r>
    <r>
      <rPr>
        <sz val="10"/>
        <rFont val="Arial"/>
        <family val="0"/>
        <charset val="1"/>
      </rPr>
      <t xml:space="preserve">modal </t>
    </r>
    <r>
      <rPr>
        <sz val="10"/>
        <rFont val="Noto Sans CJK SC"/>
        <family val="2"/>
      </rPr>
      <t xml:space="preserve">內容</t>
    </r>
  </si>
  <si>
    <t xml:space="preserve">設定齊全</t>
  </si>
  <si>
    <r>
      <rPr>
        <sz val="10"/>
        <rFont val="Noto Sans CJK SC"/>
        <family val="2"/>
      </rPr>
      <t xml:space="preserve">按預覽 </t>
    </r>
    <r>
      <rPr>
        <sz val="10"/>
        <rFont val="Arial"/>
        <family val="0"/>
        <charset val="1"/>
      </rPr>
      <t xml:space="preserve">Email</t>
    </r>
  </si>
  <si>
    <r>
      <rPr>
        <sz val="10"/>
        <rFont val="Noto Sans CJK SC"/>
        <family val="2"/>
      </rPr>
      <t xml:space="preserve">收件人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主旨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內文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觸發時間正確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單船帶船名</t>
    </r>
  </si>
  <si>
    <t xml:space="preserve">FI-12</t>
  </si>
  <si>
    <r>
      <rPr>
        <sz val="10"/>
        <rFont val="Arial"/>
        <family val="0"/>
        <charset val="1"/>
      </rPr>
      <t xml:space="preserve">modal </t>
    </r>
    <r>
      <rPr>
        <sz val="10"/>
        <rFont val="Noto Sans CJK SC"/>
        <family val="2"/>
      </rPr>
      <t xml:space="preserve">三種關閉方式</t>
    </r>
  </si>
  <si>
    <r>
      <rPr>
        <sz val="10"/>
        <rFont val="Arial"/>
        <family val="0"/>
        <charset val="1"/>
      </rPr>
      <t xml:space="preserve">modal </t>
    </r>
    <r>
      <rPr>
        <sz val="10"/>
        <rFont val="Noto Sans CJK SC"/>
        <family val="2"/>
      </rPr>
      <t xml:space="preserve">開啟</t>
    </r>
  </si>
  <si>
    <r>
      <rPr>
        <sz val="10"/>
        <rFont val="Noto Sans CJK SC"/>
        <family val="2"/>
      </rPr>
      <t xml:space="preserve">點</t>
    </r>
    <r>
      <rPr>
        <sz val="10"/>
        <rFont val="Arial"/>
        <family val="0"/>
        <charset val="1"/>
      </rPr>
      <t xml:space="preserve">×/</t>
    </r>
    <r>
      <rPr>
        <sz val="10"/>
        <rFont val="Noto Sans CJK SC"/>
        <family val="2"/>
      </rPr>
      <t xml:space="preserve">點遮罩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按</t>
    </r>
    <r>
      <rPr>
        <sz val="10"/>
        <rFont val="Arial"/>
        <family val="0"/>
        <charset val="1"/>
      </rPr>
      <t xml:space="preserve">Esc</t>
    </r>
  </si>
  <si>
    <t xml:space="preserve">均可關閉</t>
  </si>
  <si>
    <t xml:space="preserve">FI-13</t>
  </si>
  <si>
    <t xml:space="preserve">版本一致</t>
  </si>
  <si>
    <r>
      <rPr>
        <sz val="10"/>
        <rFont val="Noto Sans CJK SC"/>
        <family val="2"/>
      </rPr>
      <t xml:space="preserve">內部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客戶版顯示差異全域一致</t>
    </r>
  </si>
  <si>
    <r>
      <rPr>
        <sz val="10"/>
        <rFont val="Noto Sans CJK SC"/>
        <family val="2"/>
      </rPr>
      <t xml:space="preserve">切換 </t>
    </r>
    <r>
      <rPr>
        <sz val="10"/>
        <rFont val="Arial"/>
        <family val="0"/>
        <charset val="1"/>
      </rPr>
      <t xml:space="preserve">IS_INTERNAL </t>
    </r>
    <r>
      <rPr>
        <sz val="10"/>
        <rFont val="Noto Sans CJK SC"/>
        <family val="2"/>
      </rPr>
      <t xml:space="preserve">重載</t>
    </r>
  </si>
  <si>
    <r>
      <rPr>
        <sz val="10"/>
        <rFont val="Noto Sans CJK SC"/>
        <family val="2"/>
      </rPr>
      <t xml:space="preserve">說明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理由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詳細卡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隱藏欄位</t>
    </r>
    <r>
      <rPr>
        <sz val="10"/>
        <rFont val="Arial"/>
        <family val="0"/>
        <charset val="1"/>
      </rPr>
      <t xml:space="preserve">/AI </t>
    </r>
    <r>
      <rPr>
        <sz val="10"/>
        <rFont val="Noto Sans CJK SC"/>
        <family val="2"/>
      </rPr>
      <t xml:space="preserve">一致無殘留</t>
    </r>
  </si>
  <si>
    <t xml:space="preserve">FI-14</t>
  </si>
  <si>
    <t xml:space="preserve">啟用時間</t>
  </si>
  <si>
    <r>
      <rPr>
        <sz val="10"/>
        <rFont val="Noto Sans CJK SC"/>
        <family val="2"/>
      </rPr>
      <t xml:space="preserve">日期選擇正確帶入摘要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送出</t>
    </r>
  </si>
  <si>
    <t xml:space="preserve">改啟用日期</t>
  </si>
  <si>
    <t xml:space="preserve">值正確</t>
  </si>
  <si>
    <t xml:space="preserve">B-01</t>
  </si>
  <si>
    <r>
      <rPr>
        <sz val="10"/>
        <rFont val="Noto Sans CJK SC"/>
        <family val="2"/>
      </rPr>
      <t xml:space="preserve">警報 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</si>
  <si>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POST /alerts </t>
    </r>
    <r>
      <rPr>
        <sz val="10"/>
        <rFont val="Noto Sans CJK SC"/>
        <family val="2"/>
      </rPr>
      <t xml:space="preserve">必填驗證 </t>
    </r>
    <r>
      <rPr>
        <sz val="10"/>
        <rFont val="Arial"/>
        <family val="0"/>
        <charset val="1"/>
      </rPr>
      <t xml:space="preserve">(type/field/trigger/scope/notify)</t>
    </r>
  </si>
  <si>
    <t xml:space="preserve">異常</t>
  </si>
  <si>
    <t xml:space="preserve">缺欄位送出</t>
  </si>
  <si>
    <r>
      <rPr>
        <sz val="10"/>
        <rFont val="Noto Sans CJK SC"/>
        <family val="2"/>
      </rPr>
      <t xml:space="preserve">回 </t>
    </r>
    <r>
      <rPr>
        <sz val="10"/>
        <rFont val="Arial"/>
        <family val="0"/>
        <charset val="1"/>
      </rPr>
      <t xml:space="preserve">400/422 </t>
    </r>
    <r>
      <rPr>
        <sz val="10"/>
        <rFont val="Noto Sans CJK SC"/>
        <family val="2"/>
      </rPr>
      <t xml:space="preserve">並指出缺漏欄位</t>
    </r>
  </si>
  <si>
    <t xml:space="preserve">B-02</t>
  </si>
  <si>
    <r>
      <rPr>
        <sz val="10"/>
        <rFont val="Noto Sans CJK SC"/>
        <family val="2"/>
      </rPr>
      <t xml:space="preserve">觸發數值型別與範圍驗證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正整數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月日 </t>
    </r>
    <r>
      <rPr>
        <sz val="10"/>
        <rFont val="Arial"/>
        <family val="0"/>
        <charset val="1"/>
      </rPr>
      <t xml:space="preserve">1–28)</t>
    </r>
  </si>
  <si>
    <r>
      <rPr>
        <sz val="10"/>
        <rFont val="Noto Sans CJK SC"/>
        <family val="2"/>
      </rPr>
      <t xml:space="preserve">送 </t>
    </r>
    <r>
      <rPr>
        <sz val="10"/>
        <rFont val="Arial"/>
        <family val="0"/>
        <charset val="1"/>
      </rPr>
      <t xml:space="preserve">0/</t>
    </r>
    <r>
      <rPr>
        <sz val="10"/>
        <rFont val="Noto Sans CJK SC"/>
        <family val="2"/>
      </rPr>
      <t xml:space="preserve">負數</t>
    </r>
    <r>
      <rPr>
        <sz val="10"/>
        <rFont val="Arial"/>
        <family val="0"/>
        <charset val="1"/>
      </rPr>
      <t xml:space="preserve">/29/</t>
    </r>
    <r>
      <rPr>
        <sz val="10"/>
        <rFont val="Noto Sans CJK SC"/>
        <family val="2"/>
      </rPr>
      <t xml:space="preserve">非數字</t>
    </r>
  </si>
  <si>
    <t xml:space="preserve">拒絕並提示</t>
  </si>
  <si>
    <t xml:space="preserve">B-03</t>
  </si>
  <si>
    <r>
      <rPr>
        <sz val="10"/>
        <rFont val="Arial"/>
        <family val="0"/>
        <charset val="1"/>
      </rPr>
      <t xml:space="preserve">scope=ships </t>
    </r>
    <r>
      <rPr>
        <sz val="10"/>
        <rFont val="Noto Sans CJK SC"/>
        <family val="2"/>
      </rPr>
      <t xml:space="preserve">須至少一艘船</t>
    </r>
  </si>
  <si>
    <t xml:space="preserve">單船但未選船送出</t>
  </si>
  <si>
    <t xml:space="preserve">拒絕</t>
  </si>
  <si>
    <t xml:space="preserve">B-04</t>
  </si>
  <si>
    <r>
      <rPr>
        <sz val="10"/>
        <rFont val="Arial"/>
        <family val="0"/>
        <charset val="1"/>
      </rPr>
      <t xml:space="preserve">notify </t>
    </r>
    <r>
      <rPr>
        <sz val="10"/>
        <rFont val="Noto Sans CJK SC"/>
        <family val="2"/>
      </rPr>
      <t xml:space="preserve">至少一個有效收件人</t>
    </r>
  </si>
  <si>
    <t xml:space="preserve">皆未設定收件人送出</t>
  </si>
  <si>
    <t xml:space="preserve">B-05</t>
  </si>
  <si>
    <r>
      <rPr>
        <sz val="10"/>
        <rFont val="Noto Sans CJK SC"/>
        <family val="2"/>
      </rPr>
      <t xml:space="preserve">自訂 </t>
    </r>
    <r>
      <rPr>
        <sz val="10"/>
        <rFont val="Arial"/>
        <family val="0"/>
        <charset val="1"/>
      </rPr>
      <t xml:space="preserve">Mail </t>
    </r>
    <r>
      <rPr>
        <sz val="10"/>
        <rFont val="Noto Sans CJK SC"/>
        <family val="2"/>
      </rPr>
      <t xml:space="preserve">後端格式驗證</t>
    </r>
  </si>
  <si>
    <r>
      <rPr>
        <sz val="10"/>
        <rFont val="Noto Sans CJK SC"/>
        <family val="2"/>
      </rPr>
      <t xml:space="preserve">送非法 </t>
    </r>
    <r>
      <rPr>
        <sz val="10"/>
        <rFont val="Arial"/>
        <family val="0"/>
        <charset val="1"/>
      </rPr>
      <t xml:space="preserve">email</t>
    </r>
  </si>
  <si>
    <t xml:space="preserve">拒絕並指出無效項</t>
  </si>
  <si>
    <t xml:space="preserve">B-06</t>
  </si>
  <si>
    <r>
      <rPr>
        <sz val="10"/>
        <rFont val="Noto Sans CJK SC"/>
        <family val="2"/>
      </rPr>
      <t xml:space="preserve">版本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權限</t>
    </r>
  </si>
  <si>
    <r>
      <rPr>
        <sz val="10"/>
        <rFont val="Noto Sans CJK SC"/>
        <family val="2"/>
      </rPr>
      <t xml:space="preserve">客戶版不外洩內部專屬內容 </t>
    </r>
    <r>
      <rPr>
        <sz val="10"/>
        <rFont val="Arial"/>
        <family val="0"/>
        <charset val="1"/>
      </rPr>
      <t xml:space="preserve">(AI </t>
    </r>
    <r>
      <rPr>
        <sz val="10"/>
        <rFont val="Noto Sans CJK SC"/>
        <family val="2"/>
      </rPr>
      <t xml:space="preserve">研判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設計理由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詳細說明</t>
    </r>
    <r>
      <rPr>
        <sz val="10"/>
        <rFont val="Arial"/>
        <family val="0"/>
        <charset val="1"/>
      </rPr>
      <t xml:space="preserve">)</t>
    </r>
  </si>
  <si>
    <t xml:space="preserve">客戶版</t>
  </si>
  <si>
    <r>
      <rPr>
        <sz val="10"/>
        <rFont val="Noto Sans CJK SC"/>
        <family val="2"/>
      </rPr>
      <t xml:space="preserve">檢視介面與 </t>
    </r>
    <r>
      <rPr>
        <sz val="10"/>
        <rFont val="Arial"/>
        <family val="0"/>
        <charset val="1"/>
      </rPr>
      <t xml:space="preserve">Email</t>
    </r>
  </si>
  <si>
    <r>
      <rPr>
        <sz val="10"/>
        <rFont val="Noto Sans CJK SC"/>
        <family val="2"/>
      </rPr>
      <t xml:space="preserve">僅內部版顯示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客戶版一律隱藏</t>
    </r>
  </si>
  <si>
    <t xml:space="preserve">B-07</t>
  </si>
  <si>
    <t xml:space="preserve">權限</t>
  </si>
  <si>
    <r>
      <rPr>
        <sz val="10"/>
        <rFont val="Noto Sans CJK SC"/>
        <family val="2"/>
      </rPr>
      <t xml:space="preserve">未授權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跨租戶存取他人警報</t>
    </r>
  </si>
  <si>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存取他人資源</t>
    </r>
  </si>
  <si>
    <r>
      <rPr>
        <sz val="10"/>
        <rFont val="Noto Sans CJK SC"/>
        <family val="2"/>
      </rPr>
      <t xml:space="preserve">回 </t>
    </r>
    <r>
      <rPr>
        <sz val="10"/>
        <rFont val="Arial"/>
        <family val="0"/>
        <charset val="1"/>
      </rPr>
      <t xml:space="preserve">401/403,</t>
    </r>
    <r>
      <rPr>
        <sz val="10"/>
        <rFont val="Noto Sans CJK SC"/>
        <family val="2"/>
      </rPr>
      <t xml:space="preserve">無資料外洩</t>
    </r>
  </si>
  <si>
    <t xml:space="preserve">B-08</t>
  </si>
  <si>
    <r>
      <rPr>
        <sz val="10"/>
        <rFont val="Noto Sans CJK SC"/>
        <family val="2"/>
      </rPr>
      <t xml:space="preserve">回傳警報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格式正確且唯一</t>
    </r>
  </si>
  <si>
    <t xml:space="preserve">連續建立</t>
  </si>
  <si>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唯一、格式一致</t>
    </r>
  </si>
  <si>
    <t xml:space="preserve">B-09</t>
  </si>
  <si>
    <t xml:space="preserve">CRUD</t>
  </si>
  <si>
    <r>
      <rPr>
        <sz val="10"/>
        <rFont val="Noto Sans CJK SC"/>
        <family val="2"/>
      </rPr>
      <t xml:space="preserve">查詢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更新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刪除警報</t>
    </r>
  </si>
  <si>
    <t xml:space="preserve">已有警報</t>
  </si>
  <si>
    <t xml:space="preserve">逐一操作</t>
  </si>
  <si>
    <t xml:space="preserve">狀態正確、資料一致</t>
  </si>
  <si>
    <t xml:space="preserve">B-10</t>
  </si>
  <si>
    <t xml:space="preserve">合約</t>
  </si>
  <si>
    <r>
      <rPr>
        <sz val="10"/>
        <rFont val="Noto Sans CJK SC"/>
        <family val="2"/>
      </rPr>
      <t xml:space="preserve">回應 </t>
    </r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欄位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型別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必填符合合約</t>
    </r>
  </si>
  <si>
    <r>
      <rPr>
        <sz val="10"/>
        <rFont val="Noto Sans CJK SC"/>
        <family val="2"/>
      </rPr>
      <t xml:space="preserve">比對 </t>
    </r>
    <r>
      <rPr>
        <sz val="10"/>
        <rFont val="Arial"/>
        <family val="0"/>
        <charset val="1"/>
      </rPr>
      <t xml:space="preserve">schema</t>
    </r>
  </si>
  <si>
    <t xml:space="preserve">一致</t>
  </si>
  <si>
    <t xml:space="preserve">B-11</t>
  </si>
  <si>
    <r>
      <rPr>
        <sz val="10"/>
        <rFont val="Noto Sans CJK SC"/>
        <family val="2"/>
      </rPr>
      <t xml:space="preserve">基礎資料 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</si>
  <si>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GET ships/users/crew </t>
    </r>
    <r>
      <rPr>
        <sz val="10"/>
        <rFont val="Noto Sans CJK SC"/>
        <family val="2"/>
      </rPr>
      <t xml:space="preserve">清單正確分頁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搜尋</t>
    </r>
  </si>
  <si>
    <r>
      <rPr>
        <sz val="10"/>
        <rFont val="Noto Sans CJK SC"/>
        <family val="2"/>
      </rPr>
      <t xml:space="preserve">查詢含分頁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關鍵字</t>
    </r>
  </si>
  <si>
    <t xml:space="preserve">資料與分頁正確</t>
  </si>
  <si>
    <t xml:space="preserve">B-12</t>
  </si>
  <si>
    <t xml:space="preserve">狀態碼</t>
  </si>
  <si>
    <r>
      <rPr>
        <sz val="10"/>
        <rFont val="Noto Sans CJK SC"/>
        <family val="2"/>
      </rPr>
      <t xml:space="preserve">各情境狀態碼正確 </t>
    </r>
    <r>
      <rPr>
        <sz val="10"/>
        <rFont val="Arial"/>
        <family val="0"/>
        <charset val="1"/>
      </rPr>
      <t xml:space="preserve">(200/201/400/401/403/404/409/422/500)</t>
    </r>
  </si>
  <si>
    <r>
      <rPr>
        <sz val="10"/>
        <rFont val="Noto Sans CJK SC"/>
        <family val="2"/>
      </rPr>
      <t xml:space="preserve">正常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異常</t>
    </r>
  </si>
  <si>
    <t xml:space="preserve">觸發各情境</t>
  </si>
  <si>
    <t xml:space="preserve">狀態碼符合預期</t>
  </si>
  <si>
    <t xml:space="preserve">B-13</t>
  </si>
  <si>
    <r>
      <rPr>
        <sz val="10"/>
        <rFont val="Arial"/>
        <family val="0"/>
        <charset val="1"/>
      </rPr>
      <t xml:space="preserve">SQL Injection / XSS payload </t>
    </r>
    <r>
      <rPr>
        <sz val="10"/>
        <rFont val="Noto Sans CJK SC"/>
        <family val="2"/>
      </rPr>
      <t xml:space="preserve">後端處理</t>
    </r>
  </si>
  <si>
    <r>
      <rPr>
        <sz val="10"/>
        <rFont val="Noto Sans CJK SC"/>
        <family val="2"/>
      </rPr>
      <t xml:space="preserve">於文字欄位送 </t>
    </r>
    <r>
      <rPr>
        <sz val="10"/>
        <rFont val="Arial"/>
        <family val="0"/>
        <charset val="1"/>
      </rPr>
      <t xml:space="preserve">payload</t>
    </r>
  </si>
  <si>
    <r>
      <rPr>
        <sz val="10"/>
        <rFont val="Noto Sans CJK SC"/>
        <family val="2"/>
      </rPr>
      <t xml:space="preserve">參數化查詢、輸出轉義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無注入</t>
    </r>
  </si>
  <si>
    <t xml:space="preserve">B-14</t>
  </si>
  <si>
    <t xml:space="preserve">時區</t>
  </si>
  <si>
    <r>
      <rPr>
        <sz val="10"/>
        <rFont val="Noto Sans CJK SC"/>
        <family val="2"/>
      </rPr>
      <t xml:space="preserve">送出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儲存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顯示時區一致 </t>
    </r>
    <r>
      <rPr>
        <sz val="10"/>
        <rFont val="Arial"/>
        <family val="0"/>
        <charset val="1"/>
      </rPr>
      <t xml:space="preserve">(UTC </t>
    </r>
    <r>
      <rPr>
        <sz val="10"/>
        <rFont val="Noto Sans CJK SC"/>
        <family val="2"/>
      </rPr>
      <t xml:space="preserve">儲存</t>
    </r>
    <r>
      <rPr>
        <sz val="10"/>
        <rFont val="Arial"/>
        <family val="0"/>
        <charset val="1"/>
      </rPr>
      <t xml:space="preserve">)</t>
    </r>
  </si>
  <si>
    <t xml:space="preserve">跨時區建立</t>
  </si>
  <si>
    <r>
      <rPr>
        <sz val="10"/>
        <rFont val="Noto Sans CJK SC"/>
        <family val="2"/>
      </rPr>
      <t xml:space="preserve">儲存 </t>
    </r>
    <r>
      <rPr>
        <sz val="10"/>
        <rFont val="Arial"/>
        <family val="0"/>
        <charset val="1"/>
      </rPr>
      <t xml:space="preserve">UTC</t>
    </r>
    <r>
      <rPr>
        <sz val="10"/>
        <rFont val="Noto Sans CJK SC"/>
        <family val="2"/>
      </rPr>
      <t xml:space="preserve">、顯示依設定</t>
    </r>
  </si>
  <si>
    <t xml:space="preserve">B-15</t>
  </si>
  <si>
    <t xml:space="preserve">併發</t>
  </si>
  <si>
    <r>
      <rPr>
        <sz val="10"/>
        <rFont val="Noto Sans CJK SC"/>
        <family val="2"/>
      </rPr>
      <t xml:space="preserve">同名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同條件警報衝突處理</t>
    </r>
  </si>
  <si>
    <t xml:space="preserve">併發建立重複警報</t>
  </si>
  <si>
    <r>
      <rPr>
        <sz val="10"/>
        <rFont val="Noto Sans CJK SC"/>
        <family val="2"/>
      </rPr>
      <t xml:space="preserve">依規則去重或回 </t>
    </r>
    <r>
      <rPr>
        <sz val="10"/>
        <rFont val="Arial"/>
        <family val="0"/>
        <charset val="1"/>
      </rPr>
      <t xml:space="preserve">409</t>
    </r>
  </si>
  <si>
    <t xml:space="preserve">B-16</t>
  </si>
  <si>
    <r>
      <rPr>
        <sz val="10"/>
        <rFont val="Noto Sans CJK SC"/>
        <family val="2"/>
      </rPr>
      <t xml:space="preserve">預覽 </t>
    </r>
    <r>
      <rPr>
        <sz val="10"/>
        <rFont val="Arial"/>
        <family val="0"/>
        <charset val="1"/>
      </rPr>
      <t xml:space="preserve">API</t>
    </r>
  </si>
  <si>
    <r>
      <rPr>
        <sz val="10"/>
        <rFont val="Arial"/>
        <family val="0"/>
        <charset val="1"/>
      </rPr>
      <t xml:space="preserve">POST </t>
    </r>
    <r>
      <rPr>
        <sz val="10"/>
        <rFont val="Noto Sans CJK SC"/>
        <family val="2"/>
      </rPr>
      <t xml:space="preserve">預覽 回傳 </t>
    </r>
    <r>
      <rPr>
        <sz val="10"/>
        <rFont val="Arial"/>
        <family val="0"/>
        <charset val="1"/>
      </rPr>
      <t xml:space="preserve">subject/body </t>
    </r>
    <r>
      <rPr>
        <sz val="10"/>
        <rFont val="Noto Sans CJK SC"/>
        <family val="2"/>
      </rPr>
      <t xml:space="preserve">與設定一致</t>
    </r>
  </si>
  <si>
    <t xml:space="preserve">送各欄位設定</t>
  </si>
  <si>
    <t xml:space="preserve">內容正確</t>
  </si>
  <si>
    <t xml:space="preserve">S-01</t>
  </si>
  <si>
    <r>
      <rPr>
        <sz val="10"/>
        <rFont val="Noto Sans CJK SC"/>
        <family val="2"/>
      </rPr>
      <t xml:space="preserve">偵測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定時</t>
    </r>
  </si>
  <si>
    <r>
      <rPr>
        <sz val="10"/>
        <rFont val="Noto Sans CJK SC"/>
        <family val="2"/>
      </rPr>
      <t xml:space="preserve">進出港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分鐘比對即時與表定差異</t>
    </r>
  </si>
  <si>
    <r>
      <rPr>
        <sz val="10"/>
        <rFont val="Noto Sans CJK SC"/>
        <family val="2"/>
      </rPr>
      <t xml:space="preserve">航次 </t>
    </r>
    <r>
      <rPr>
        <sz val="10"/>
        <rFont val="Arial"/>
        <family val="0"/>
        <charset val="1"/>
      </rPr>
      <t xml:space="preserve">gate</t>
    </r>
  </si>
  <si>
    <t xml:space="preserve">注入時間推進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</si>
  <si>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分鐘掃描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依提案</t>
    </r>
    <r>
      <rPr>
        <sz val="10"/>
        <rFont val="Arial"/>
        <family val="0"/>
        <charset val="1"/>
      </rPr>
      <t xml:space="preserve">)</t>
    </r>
  </si>
  <si>
    <t xml:space="preserve">S-02</t>
  </si>
  <si>
    <r>
      <rPr>
        <sz val="10"/>
        <rFont val="Noto Sans CJK SC"/>
        <family val="2"/>
      </rPr>
      <t xml:space="preserve">偵測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每天</t>
    </r>
  </si>
  <si>
    <t xml:space="preserve">每天指定時間執行一次</t>
  </si>
  <si>
    <t xml:space="preserve">每天警報</t>
  </si>
  <si>
    <t xml:space="preserve">跨多日推進</t>
  </si>
  <si>
    <t xml:space="preserve">每日僅一次、時間正確</t>
  </si>
  <si>
    <t xml:space="preserve">S-03</t>
  </si>
  <si>
    <r>
      <rPr>
        <sz val="10"/>
        <rFont val="Noto Sans CJK SC"/>
        <family val="2"/>
      </rPr>
      <t xml:space="preserve">偵測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每周</t>
    </r>
  </si>
  <si>
    <r>
      <rPr>
        <sz val="10"/>
        <rFont val="Noto Sans CJK SC"/>
        <family val="2"/>
      </rPr>
      <t xml:space="preserve">指定多星期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時間執行</t>
    </r>
  </si>
  <si>
    <t xml:space="preserve">每周多選</t>
  </si>
  <si>
    <t xml:space="preserve">跨週推進</t>
  </si>
  <si>
    <t xml:space="preserve">僅選定星期觸發</t>
  </si>
  <si>
    <t xml:space="preserve">S-04</t>
  </si>
  <si>
    <r>
      <rPr>
        <sz val="10"/>
        <rFont val="Noto Sans CJK SC"/>
        <family val="2"/>
      </rPr>
      <t xml:space="preserve">偵測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每月</t>
    </r>
  </si>
  <si>
    <r>
      <rPr>
        <sz val="10"/>
        <rFont val="Noto Sans CJK SC"/>
        <family val="2"/>
      </rPr>
      <t xml:space="preserve">每月第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天執行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小月不存在天數策略</t>
    </r>
  </si>
  <si>
    <r>
      <rPr>
        <sz val="10"/>
        <rFont val="Noto Sans CJK SC"/>
        <family val="2"/>
      </rPr>
      <t xml:space="preserve">每月 </t>
    </r>
    <r>
      <rPr>
        <sz val="10"/>
        <rFont val="Arial"/>
        <family val="0"/>
        <charset val="1"/>
      </rPr>
      <t xml:space="preserve">N=28~31</t>
    </r>
  </si>
  <si>
    <r>
      <rPr>
        <sz val="10"/>
        <rFont val="Noto Sans CJK SC"/>
        <family val="2"/>
      </rPr>
      <t xml:space="preserve">跨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小月</t>
    </r>
  </si>
  <si>
    <t xml:space="preserve">明確且一致的處理</t>
  </si>
  <si>
    <t xml:space="preserve">S-05</t>
  </si>
  <si>
    <t xml:space="preserve">頻率分離</t>
  </si>
  <si>
    <t xml:space="preserve">偵測頻率與警報頻率獨立運作</t>
  </si>
  <si>
    <t xml:space="preserve">偵測≠警報</t>
  </si>
  <si>
    <t xml:space="preserve">觸發後觀察發送</t>
  </si>
  <si>
    <t xml:space="preserve">偵測判定與發送節奏各自正確</t>
  </si>
  <si>
    <t xml:space="preserve">S-06</t>
  </si>
  <si>
    <r>
      <rPr>
        <sz val="10"/>
        <rFont val="Noto Sans CJK SC"/>
        <family val="2"/>
      </rPr>
      <t xml:space="preserve">警報</t>
    </r>
    <r>
      <rPr>
        <sz val="10"/>
        <rFont val="Arial"/>
        <family val="0"/>
        <charset val="1"/>
      </rPr>
      <t xml:space="preserve">-once</t>
    </r>
  </si>
  <si>
    <r>
      <rPr>
        <sz val="10"/>
        <rFont val="Noto Sans CJK SC"/>
        <family val="2"/>
      </rPr>
      <t xml:space="preserve">觸發後僅發一次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事件再發生才重觸</t>
    </r>
  </si>
  <si>
    <t xml:space="preserve">gate/sea</t>
  </si>
  <si>
    <t xml:space="preserve">條件持續→消失→再現</t>
  </si>
  <si>
    <t xml:space="preserve">僅一次、再現才重發</t>
  </si>
  <si>
    <t xml:space="preserve">S-07</t>
  </si>
  <si>
    <r>
      <rPr>
        <sz val="10"/>
        <rFont val="Noto Sans CJK SC"/>
        <family val="2"/>
      </rPr>
      <t xml:space="preserve">警報</t>
    </r>
    <r>
      <rPr>
        <sz val="10"/>
        <rFont val="Arial"/>
        <family val="0"/>
        <charset val="1"/>
      </rPr>
      <t xml:space="preserve">-repeat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</si>
  <si>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重複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達 </t>
    </r>
    <r>
      <rPr>
        <sz val="10"/>
        <rFont val="Arial"/>
        <family val="0"/>
        <charset val="1"/>
      </rPr>
      <t xml:space="preserve">max </t>
    </r>
    <r>
      <rPr>
        <sz val="10"/>
        <rFont val="Noto Sans CJK SC"/>
        <family val="2"/>
      </rPr>
      <t xml:space="preserve">次停止</t>
    </r>
  </si>
  <si>
    <t xml:space="preserve">eta(max3)</t>
  </si>
  <si>
    <t xml:space="preserve">條件持續</t>
  </si>
  <si>
    <r>
      <rPr>
        <sz val="10"/>
        <rFont val="Noto Sans CJK SC"/>
        <family val="2"/>
      </rPr>
      <t xml:space="preserve">達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次後停止</t>
    </r>
  </si>
  <si>
    <t xml:space="preserve">S-08</t>
  </si>
  <si>
    <r>
      <rPr>
        <sz val="10"/>
        <rFont val="Noto Sans CJK SC"/>
        <family val="2"/>
      </rPr>
      <t xml:space="preserve">警報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彙整</t>
    </r>
  </si>
  <si>
    <r>
      <rPr>
        <sz val="10"/>
        <rFont val="Arial"/>
        <family val="0"/>
        <charset val="1"/>
      </rPr>
      <t xml:space="preserve">daily-fixed/weekly/monthly </t>
    </r>
    <r>
      <rPr>
        <sz val="10"/>
        <rFont val="Noto Sans CJK SC"/>
        <family val="2"/>
      </rPr>
      <t xml:space="preserve">彙整報告</t>
    </r>
  </si>
  <si>
    <t xml:space="preserve">cert/age/svc/cii</t>
  </si>
  <si>
    <t xml:space="preserve">到排程時點</t>
  </si>
  <si>
    <t xml:space="preserve">於設定時點發彙整</t>
  </si>
  <si>
    <t xml:space="preserve">S-09</t>
  </si>
  <si>
    <t xml:space="preserve">預設落實</t>
  </si>
  <si>
    <r>
      <rPr>
        <sz val="10"/>
        <rFont val="Noto Sans CJK SC"/>
        <family val="2"/>
      </rPr>
      <t xml:space="preserve">各欄位偵測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警報預設與「客戶提案」一致</t>
    </r>
  </si>
  <si>
    <t xml:space="preserve">逐欄位建立採預設</t>
  </si>
  <si>
    <r>
      <rPr>
        <sz val="10"/>
        <rFont val="Noto Sans CJK SC"/>
        <family val="2"/>
      </rPr>
      <t xml:space="preserve">進出港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分</t>
    </r>
    <r>
      <rPr>
        <sz val="10"/>
        <rFont val="Arial"/>
        <family val="0"/>
        <charset val="1"/>
      </rPr>
      <t xml:space="preserve">/ETA15</t>
    </r>
    <r>
      <rPr>
        <sz val="10"/>
        <rFont val="Noto Sans CJK SC"/>
        <family val="2"/>
      </rPr>
      <t xml:space="preserve">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偏移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海況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船速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庫存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</t>
    </r>
    <r>
      <rPr>
        <sz val="10"/>
        <rFont val="Arial"/>
        <family val="0"/>
        <charset val="1"/>
      </rPr>
      <t xml:space="preserve">(+</t>
    </r>
    <r>
      <rPr>
        <sz val="10"/>
        <rFont val="Noto Sans CJK SC"/>
        <family val="2"/>
      </rPr>
      <t xml:space="preserve">船報更新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船員每日檢查週一報</t>
    </r>
  </si>
  <si>
    <t xml:space="preserve">S-10</t>
  </si>
  <si>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-gate</t>
    </r>
  </si>
  <si>
    <r>
      <rPr>
        <sz val="10"/>
        <rFont val="Noto Sans CJK SC"/>
        <family val="2"/>
      </rPr>
      <t xml:space="preserve">地理圍欄 </t>
    </r>
    <r>
      <rPr>
        <sz val="10"/>
        <rFont val="Arial"/>
        <family val="0"/>
        <charset val="1"/>
      </rPr>
      <t xml:space="preserve">point-in-polygon,</t>
    </r>
    <r>
      <rPr>
        <sz val="10"/>
        <rFont val="Noto Sans CJK SC"/>
        <family val="2"/>
      </rPr>
      <t xml:space="preserve">連續 </t>
    </r>
    <r>
      <rPr>
        <sz val="10"/>
        <rFont val="Arial"/>
        <family val="0"/>
        <charset val="1"/>
      </rPr>
      <t xml:space="preserve">2–3 </t>
    </r>
    <r>
      <rPr>
        <sz val="10"/>
        <rFont val="Noto Sans CJK SC"/>
        <family val="2"/>
      </rPr>
      <t xml:space="preserve">點確認</t>
    </r>
  </si>
  <si>
    <r>
      <rPr>
        <sz val="10"/>
        <rFont val="Noto Sans CJK SC"/>
        <family val="2"/>
      </rPr>
      <t xml:space="preserve">注入越界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抖動軌跡</t>
    </r>
  </si>
  <si>
    <t xml:space="preserve">正確進出港、抖動不誤報</t>
  </si>
  <si>
    <t xml:space="preserve">S-11</t>
  </si>
  <si>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-eta</t>
    </r>
  </si>
  <si>
    <r>
      <rPr>
        <sz val="10"/>
        <rFont val="Noto Sans CJK SC"/>
        <family val="2"/>
      </rPr>
      <t xml:space="preserve">偵測每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</t>
    </r>
    <r>
      <rPr>
        <sz val="10"/>
        <rFont val="Arial"/>
        <family val="0"/>
        <charset val="1"/>
      </rPr>
      <t xml:space="preserve">;ETA </t>
    </r>
    <r>
      <rPr>
        <sz val="10"/>
        <rFont val="Noto Sans CJK SC"/>
        <family val="2"/>
      </rPr>
      <t xml:space="preserve">落入前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小時門檻觸發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警報每隔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小時限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次</t>
    </r>
  </si>
  <si>
    <r>
      <rPr>
        <sz val="10"/>
        <rFont val="Noto Sans CJK SC"/>
        <family val="2"/>
      </rPr>
      <t xml:space="preserve">航次 </t>
    </r>
    <r>
      <rPr>
        <sz val="10"/>
        <rFont val="Arial"/>
        <family val="0"/>
        <charset val="1"/>
      </rPr>
      <t xml:space="preserve">eta</t>
    </r>
  </si>
  <si>
    <r>
      <rPr>
        <sz val="10"/>
        <rFont val="Noto Sans CJK SC"/>
        <family val="2"/>
      </rPr>
      <t xml:space="preserve">注入 </t>
    </r>
    <r>
      <rPr>
        <sz val="10"/>
        <rFont val="Arial"/>
        <family val="0"/>
        <charset val="1"/>
      </rPr>
      <t xml:space="preserve">ETA </t>
    </r>
    <r>
      <rPr>
        <sz val="10"/>
        <rFont val="Noto Sans CJK SC"/>
        <family val="2"/>
      </rPr>
      <t xml:space="preserve">序列</t>
    </r>
  </si>
  <si>
    <r>
      <rPr>
        <sz val="10"/>
        <rFont val="Noto Sans CJK SC"/>
        <family val="2"/>
      </rPr>
      <t xml:space="preserve">每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分比對、門檻內觸發、限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次</t>
    </r>
  </si>
  <si>
    <t xml:space="preserve">S-12</t>
  </si>
  <si>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-off</t>
    </r>
  </si>
  <si>
    <r>
      <rPr>
        <sz val="10"/>
        <rFont val="Noto Sans CJK SC"/>
        <family val="2"/>
      </rPr>
      <t xml:space="preserve">偵測每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偏離航線 </t>
    </r>
    <r>
      <rPr>
        <sz val="10"/>
        <rFont val="Arial"/>
        <family val="0"/>
        <charset val="1"/>
      </rPr>
      <t xml:space="preserve">&gt; N </t>
    </r>
    <r>
      <rPr>
        <sz val="10"/>
        <rFont val="Noto Sans CJK SC"/>
        <family val="2"/>
      </rPr>
      <t xml:space="preserve">海浬觸發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警報每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分至回到航線</t>
    </r>
  </si>
  <si>
    <r>
      <rPr>
        <sz val="10"/>
        <rFont val="Noto Sans CJK SC"/>
        <family val="2"/>
      </rPr>
      <t xml:space="preserve">航次 </t>
    </r>
    <r>
      <rPr>
        <sz val="10"/>
        <rFont val="Arial"/>
        <family val="0"/>
        <charset val="1"/>
      </rPr>
      <t xml:space="preserve">off</t>
    </r>
  </si>
  <si>
    <t xml:space="preserve">注入偏航軌跡</t>
  </si>
  <si>
    <r>
      <rPr>
        <sz val="10"/>
        <rFont val="Noto Sans CJK SC"/>
        <family val="2"/>
      </rPr>
      <t xml:space="preserve">每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分比對 </t>
    </r>
    <r>
      <rPr>
        <sz val="10"/>
        <rFont val="Arial"/>
        <family val="0"/>
        <charset val="1"/>
      </rPr>
      <t xml:space="preserve">GPS</t>
    </r>
    <r>
      <rPr>
        <sz val="10"/>
        <rFont val="Noto Sans CJK SC"/>
        <family val="2"/>
      </rPr>
      <t xml:space="preserve">、超門檻觸發、回正停止</t>
    </r>
  </si>
  <si>
    <t xml:space="preserve">S-13</t>
  </si>
  <si>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-sea</t>
    </r>
  </si>
  <si>
    <r>
      <rPr>
        <sz val="10"/>
        <rFont val="Noto Sans CJK SC"/>
        <family val="2"/>
      </rPr>
      <t xml:space="preserve">預報浪高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風力命中門檻觸發</t>
    </r>
  </si>
  <si>
    <r>
      <rPr>
        <sz val="10"/>
        <rFont val="Noto Sans CJK SC"/>
        <family val="2"/>
      </rPr>
      <t xml:space="preserve">航次 </t>
    </r>
    <r>
      <rPr>
        <sz val="10"/>
        <rFont val="Arial"/>
        <family val="0"/>
        <charset val="1"/>
      </rPr>
      <t xml:space="preserve">sea</t>
    </r>
  </si>
  <si>
    <t xml:space="preserve">注入氣象</t>
  </si>
  <si>
    <t xml:space="preserve">任一點命中即觸發</t>
  </si>
  <si>
    <t xml:space="preserve">S-14</t>
  </si>
  <si>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-spd</t>
    </r>
  </si>
  <si>
    <r>
      <rPr>
        <sz val="10"/>
        <rFont val="Noto Sans CJK SC"/>
        <family val="2"/>
      </rPr>
      <t xml:space="preserve">偵測每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小時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主機 </t>
    </r>
    <r>
      <rPr>
        <sz val="10"/>
        <rFont val="Arial"/>
        <family val="0"/>
        <charset val="1"/>
      </rPr>
      <t xml:space="preserve">RPM </t>
    </r>
    <r>
      <rPr>
        <sz val="10"/>
        <rFont val="Noto Sans CJK SC"/>
        <family val="2"/>
      </rPr>
      <t xml:space="preserve">未大幅變動但 </t>
    </r>
    <r>
      <rPr>
        <sz val="10"/>
        <rFont val="Arial"/>
        <family val="0"/>
        <charset val="1"/>
      </rPr>
      <t xml:space="preserve">SOG &lt; </t>
    </r>
    <r>
      <rPr>
        <sz val="10"/>
        <rFont val="Noto Sans CJK SC"/>
        <family val="2"/>
      </rPr>
      <t xml:space="preserve">預期 </t>
    </r>
    <r>
      <rPr>
        <sz val="10"/>
        <rFont val="Arial"/>
        <family val="0"/>
        <charset val="1"/>
      </rPr>
      <t xml:space="preserve">N% </t>
    </r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含</t>
    </r>
    <r>
      <rPr>
        <sz val="10"/>
        <rFont val="Arial"/>
        <family val="0"/>
        <charset val="1"/>
      </rPr>
      <t xml:space="preserve">RPM</t>
    </r>
    <r>
      <rPr>
        <sz val="10"/>
        <rFont val="Noto Sans CJK SC"/>
        <family val="2"/>
      </rPr>
      <t xml:space="preserve">雙因子</t>
    </r>
    <r>
      <rPr>
        <sz val="10"/>
        <rFont val="Arial"/>
        <family val="0"/>
        <charset val="1"/>
      </rPr>
      <t xml:space="preserve">);</t>
    </r>
    <r>
      <rPr>
        <sz val="10"/>
        <rFont val="Noto Sans CJK SC"/>
        <family val="2"/>
      </rPr>
      <t xml:space="preserve">警報每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小時限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次</t>
    </r>
  </si>
  <si>
    <r>
      <rPr>
        <sz val="10"/>
        <rFont val="Noto Sans CJK SC"/>
        <family val="2"/>
      </rPr>
      <t xml:space="preserve">航次 </t>
    </r>
    <r>
      <rPr>
        <sz val="10"/>
        <rFont val="Arial"/>
        <family val="0"/>
        <charset val="1"/>
      </rPr>
      <t xml:space="preserve">spd(</t>
    </r>
    <r>
      <rPr>
        <sz val="10"/>
        <rFont val="Noto Sans CJK SC"/>
        <family val="2"/>
      </rPr>
      <t xml:space="preserve">含</t>
    </r>
    <r>
      <rPr>
        <sz val="10"/>
        <rFont val="Arial"/>
        <family val="0"/>
        <charset val="1"/>
      </rPr>
      <t xml:space="preserve">RPM)</t>
    </r>
  </si>
  <si>
    <r>
      <rPr>
        <sz val="10"/>
        <rFont val="Noto Sans CJK SC"/>
        <family val="2"/>
      </rPr>
      <t xml:space="preserve">注入 </t>
    </r>
    <r>
      <rPr>
        <sz val="10"/>
        <rFont val="Arial"/>
        <family val="0"/>
        <charset val="1"/>
      </rPr>
      <t xml:space="preserve">SOG+RPM</t>
    </r>
  </si>
  <si>
    <r>
      <rPr>
        <sz val="10"/>
        <rFont val="Arial"/>
        <family val="0"/>
        <charset val="1"/>
      </rPr>
      <t xml:space="preserve">RPM </t>
    </r>
    <r>
      <rPr>
        <sz val="10"/>
        <rFont val="Noto Sans CJK SC"/>
        <family val="2"/>
      </rPr>
      <t xml:space="preserve">穩定且 </t>
    </r>
    <r>
      <rPr>
        <sz val="10"/>
        <rFont val="Arial"/>
        <family val="0"/>
        <charset val="1"/>
      </rPr>
      <t xml:space="preserve">SOG </t>
    </r>
    <r>
      <rPr>
        <sz val="10"/>
        <rFont val="Noto Sans CJK SC"/>
        <family val="2"/>
      </rPr>
      <t xml:space="preserve">偏差超門檻才觸發</t>
    </r>
  </si>
  <si>
    <t xml:space="preserve">S-15</t>
  </si>
  <si>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-CII</t>
    </r>
  </si>
  <si>
    <r>
      <rPr>
        <sz val="10"/>
        <rFont val="Arial"/>
        <family val="0"/>
        <charset val="1"/>
      </rPr>
      <t xml:space="preserve">AER/cgDIST </t>
    </r>
    <r>
      <rPr>
        <sz val="10"/>
        <rFont val="Noto Sans CJK SC"/>
        <family val="2"/>
      </rPr>
      <t xml:space="preserve">計算與評等門檻判定</t>
    </r>
  </si>
  <si>
    <t xml:space="preserve">CII thism/nexty</t>
  </si>
  <si>
    <r>
      <rPr>
        <sz val="10"/>
        <rFont val="Noto Sans CJK SC"/>
        <family val="2"/>
      </rPr>
      <t xml:space="preserve">注入燃油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航程</t>
    </r>
  </si>
  <si>
    <t xml:space="preserve">評等計算正確、達門檻納報</t>
  </si>
  <si>
    <t xml:space="preserve">S-16</t>
  </si>
  <si>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-bunker-</t>
    </r>
    <r>
      <rPr>
        <sz val="10"/>
        <rFont val="Noto Sans CJK SC"/>
        <family val="2"/>
      </rPr>
      <t xml:space="preserve">低庫存</t>
    </r>
  </si>
  <si>
    <r>
      <rPr>
        <sz val="10"/>
        <rFont val="Noto Sans CJK SC"/>
        <family val="2"/>
      </rPr>
      <t xml:space="preserve">偵測每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船報更新時</t>
    </r>
    <r>
      <rPr>
        <sz val="10"/>
        <rFont val="Arial"/>
        <family val="0"/>
        <charset val="1"/>
      </rPr>
      <t xml:space="preserve">;ROB &lt; </t>
    </r>
    <r>
      <rPr>
        <sz val="10"/>
        <rFont val="Noto Sans CJK SC"/>
        <family val="2"/>
      </rPr>
      <t xml:space="preserve">動態安全庫存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近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月歷史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每日提醒至補足</t>
    </r>
  </si>
  <si>
    <t xml:space="preserve">bunker low</t>
  </si>
  <si>
    <r>
      <rPr>
        <sz val="10"/>
        <rFont val="Noto Sans CJK SC"/>
        <family val="2"/>
      </rPr>
      <t xml:space="preserve">注入 </t>
    </r>
    <r>
      <rPr>
        <sz val="10"/>
        <rFont val="Arial"/>
        <family val="0"/>
        <charset val="1"/>
      </rPr>
      <t xml:space="preserve">ROB</t>
    </r>
  </si>
  <si>
    <t xml:space="preserve">安全庫存推估與觸發正確</t>
  </si>
  <si>
    <t xml:space="preserve">S-16b</t>
  </si>
  <si>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-bunker-</t>
    </r>
    <r>
      <rPr>
        <sz val="10"/>
        <rFont val="Noto Sans CJK SC"/>
        <family val="2"/>
      </rPr>
      <t xml:space="preserve">油耗</t>
    </r>
  </si>
  <si>
    <r>
      <rPr>
        <sz val="10"/>
        <rFont val="Noto Sans CJK SC"/>
        <family val="2"/>
      </rPr>
      <t xml:space="preserve">每月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08:00;</t>
    </r>
    <r>
      <rPr>
        <sz val="10"/>
        <rFont val="Noto Sans CJK SC"/>
        <family val="2"/>
      </rPr>
      <t xml:space="preserve">單位里程油耗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歷史同月平均 </t>
    </r>
    <r>
      <rPr>
        <sz val="10"/>
        <rFont val="Arial"/>
        <family val="0"/>
        <charset val="1"/>
      </rPr>
      <t xml:space="preserve">N% </t>
    </r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月報</t>
    </r>
    <r>
      <rPr>
        <sz val="10"/>
        <rFont val="Arial"/>
        <family val="0"/>
        <charset val="1"/>
      </rPr>
      <t xml:space="preserve">)</t>
    </r>
  </si>
  <si>
    <t xml:space="preserve">bunker high</t>
  </si>
  <si>
    <t xml:space="preserve">注入上月油耗</t>
  </si>
  <si>
    <t xml:space="preserve">以歷史同月平均比對、增幅計算正確</t>
  </si>
  <si>
    <t xml:space="preserve">S-16c</t>
  </si>
  <si>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-ECA</t>
    </r>
  </si>
  <si>
    <r>
      <rPr>
        <sz val="10"/>
        <rFont val="Noto Sans CJK SC"/>
        <family val="2"/>
      </rPr>
      <t xml:space="preserve">偵測每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距 </t>
    </r>
    <r>
      <rPr>
        <sz val="10"/>
        <rFont val="Arial"/>
        <family val="0"/>
        <charset val="1"/>
      </rPr>
      <t xml:space="preserve">ECA </t>
    </r>
    <r>
      <rPr>
        <sz val="10"/>
        <rFont val="Noto Sans CJK SC"/>
        <family val="2"/>
      </rPr>
      <t xml:space="preserve">邊界 </t>
    </r>
    <r>
      <rPr>
        <sz val="10"/>
        <rFont val="Arial"/>
        <family val="0"/>
        <charset val="1"/>
      </rPr>
      <t xml:space="preserve">&lt; N </t>
    </r>
    <r>
      <rPr>
        <sz val="10"/>
        <rFont val="Noto Sans CJK SC"/>
        <family val="2"/>
      </rPr>
      <t xml:space="preserve">海浬觸發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警報每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分</t>
    </r>
  </si>
  <si>
    <t xml:space="preserve">bunker ECA</t>
  </si>
  <si>
    <r>
      <rPr>
        <sz val="10"/>
        <rFont val="Noto Sans CJK SC"/>
        <family val="2"/>
      </rPr>
      <t xml:space="preserve">注入 </t>
    </r>
    <r>
      <rPr>
        <sz val="10"/>
        <rFont val="Arial"/>
        <family val="0"/>
        <charset val="1"/>
      </rPr>
      <t xml:space="preserve">GPS </t>
    </r>
    <r>
      <rPr>
        <sz val="10"/>
        <rFont val="Noto Sans CJK SC"/>
        <family val="2"/>
      </rPr>
      <t xml:space="preserve">接近 </t>
    </r>
    <r>
      <rPr>
        <sz val="10"/>
        <rFont val="Arial"/>
        <family val="0"/>
        <charset val="1"/>
      </rPr>
      <t xml:space="preserve">ECA</t>
    </r>
  </si>
  <si>
    <r>
      <rPr>
        <sz val="10"/>
        <rFont val="Noto Sans CJK SC"/>
        <family val="2"/>
      </rPr>
      <t xml:space="preserve">比對 </t>
    </r>
    <r>
      <rPr>
        <sz val="10"/>
        <rFont val="Arial"/>
        <family val="0"/>
        <charset val="1"/>
      </rPr>
      <t xml:space="preserve">GPS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ECA </t>
    </r>
    <r>
      <rPr>
        <sz val="10"/>
        <rFont val="Noto Sans CJK SC"/>
        <family val="2"/>
      </rPr>
      <t xml:space="preserve">範圍、超門檻觸發</t>
    </r>
  </si>
  <si>
    <t xml:space="preserve">S-17</t>
  </si>
  <si>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-crew</t>
    </r>
  </si>
  <si>
    <r>
      <rPr>
        <sz val="10"/>
        <rFont val="Noto Sans CJK SC"/>
        <family val="2"/>
      </rPr>
      <t xml:space="preserve">偵測每日</t>
    </r>
    <r>
      <rPr>
        <sz val="10"/>
        <rFont val="Arial"/>
        <family val="0"/>
        <charset val="1"/>
      </rPr>
      <t xml:space="preserve">08:00</t>
    </r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證書到期</t>
    </r>
    <r>
      <rPr>
        <sz val="10"/>
        <rFont val="Arial"/>
        <family val="0"/>
        <charset val="1"/>
      </rPr>
      <t xml:space="preserve">±N/</t>
    </r>
    <r>
      <rPr>
        <sz val="10"/>
        <rFont val="Noto Sans CJK SC"/>
        <family val="2"/>
      </rPr>
      <t xml:space="preserve">年齡≥</t>
    </r>
    <r>
      <rPr>
        <sz val="10"/>
        <rFont val="Arial"/>
        <family val="0"/>
        <charset val="1"/>
      </rPr>
      <t xml:space="preserve">N/</t>
    </r>
    <r>
      <rPr>
        <sz val="10"/>
        <rFont val="Noto Sans CJK SC"/>
        <family val="2"/>
      </rPr>
      <t xml:space="preserve">任職≥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每週一推播週報</t>
    </r>
  </si>
  <si>
    <r>
      <rPr>
        <sz val="10"/>
        <rFont val="Noto Sans CJK SC"/>
        <family val="2"/>
      </rPr>
      <t xml:space="preserve">船員 </t>
    </r>
    <r>
      <rPr>
        <sz val="10"/>
        <rFont val="Arial"/>
        <family val="0"/>
        <charset val="1"/>
      </rPr>
      <t xml:space="preserve">cert/age/svc</t>
    </r>
  </si>
  <si>
    <t xml:space="preserve">注入人事資料</t>
  </si>
  <si>
    <t xml:space="preserve">每日檢查、計算正確、週一彙整</t>
  </si>
  <si>
    <t xml:space="preserve">S-18</t>
  </si>
  <si>
    <t xml:space="preserve">誤報抑制</t>
  </si>
  <si>
    <r>
      <rPr>
        <sz val="10"/>
        <rFont val="Arial"/>
        <family val="0"/>
        <charset val="1"/>
      </rPr>
      <t xml:space="preserve">hysteresis / </t>
    </r>
    <r>
      <rPr>
        <sz val="10"/>
        <rFont val="Noto Sans CJK SC"/>
        <family val="2"/>
      </rPr>
      <t xml:space="preserve">連續確認降低誤報</t>
    </r>
  </si>
  <si>
    <t xml:space="preserve">邊界反覆抖動</t>
  </si>
  <si>
    <t xml:space="preserve">不產生反覆誤報</t>
  </si>
  <si>
    <t xml:space="preserve">S-19</t>
  </si>
  <si>
    <t xml:space="preserve">解除通報</t>
  </si>
  <si>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生效後停止發送</t>
    </r>
  </si>
  <si>
    <t xml:space="preserve">重複類警報</t>
  </si>
  <si>
    <t xml:space="preserve">點解除連結</t>
  </si>
  <si>
    <t xml:space="preserve">後續不再發送</t>
  </si>
  <si>
    <t xml:space="preserve">S-20</t>
  </si>
  <si>
    <t xml:space="preserve">可靠性</t>
  </si>
  <si>
    <r>
      <rPr>
        <sz val="10"/>
        <rFont val="Noto Sans CJK SC"/>
        <family val="2"/>
      </rPr>
      <t xml:space="preserve">系統重啟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停機錯過排程的補發或略過策略</t>
    </r>
  </si>
  <si>
    <r>
      <rPr>
        <sz val="10"/>
        <rFont val="Noto Sans CJK SC"/>
        <family val="2"/>
      </rPr>
      <t xml:space="preserve">模擬 </t>
    </r>
    <r>
      <rPr>
        <sz val="10"/>
        <rFont val="Arial"/>
        <family val="0"/>
        <charset val="1"/>
      </rPr>
      <t xml:space="preserve">downtime</t>
    </r>
  </si>
  <si>
    <r>
      <rPr>
        <sz val="10"/>
        <rFont val="Noto Sans CJK SC"/>
        <family val="2"/>
      </rPr>
      <t xml:space="preserve">依策略補發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略過、不重複轟炸</t>
    </r>
  </si>
  <si>
    <t xml:space="preserve">S-21</t>
  </si>
  <si>
    <t xml:space="preserve">效能</t>
  </si>
  <si>
    <t xml:space="preserve">多船多警報高併發吞吐</t>
  </si>
  <si>
    <t xml:space="preserve">大量警報</t>
  </si>
  <si>
    <t xml:space="preserve">壓力注入</t>
  </si>
  <si>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SLA </t>
    </r>
    <r>
      <rPr>
        <sz val="10"/>
        <rFont val="Noto Sans CJK SC"/>
        <family val="2"/>
      </rPr>
      <t xml:space="preserve">內完成掃描與發送</t>
    </r>
  </si>
  <si>
    <t xml:space="preserve">D-01</t>
  </si>
  <si>
    <t xml:space="preserve">AIS/GPS</t>
  </si>
  <si>
    <r>
      <rPr>
        <sz val="10"/>
        <rFont val="Noto Sans CJK SC"/>
        <family val="2"/>
      </rPr>
      <t xml:space="preserve">位置資料接入 </t>
    </r>
    <r>
      <rPr>
        <sz val="10"/>
        <rFont val="Arial"/>
        <family val="0"/>
        <charset val="1"/>
      </rPr>
      <t xml:space="preserve">(15–60 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與每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分鐘整理</t>
    </r>
  </si>
  <si>
    <t xml:space="preserve">接入即時資料</t>
  </si>
  <si>
    <t xml:space="preserve">資料落地正確、頻率符合</t>
  </si>
  <si>
    <t xml:space="preserve">D-02</t>
  </si>
  <si>
    <r>
      <rPr>
        <sz val="10"/>
        <rFont val="Noto Sans CJK SC"/>
        <family val="2"/>
      </rPr>
      <t xml:space="preserve">斷線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缺漏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異常座標清洗</t>
    </r>
  </si>
  <si>
    <r>
      <rPr>
        <sz val="10"/>
        <rFont val="Noto Sans CJK SC"/>
        <family val="2"/>
      </rPr>
      <t xml:space="preserve">注入缺漏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跳點</t>
    </r>
  </si>
  <si>
    <t xml:space="preserve">缺漏標記、異常過濾</t>
  </si>
  <si>
    <t xml:space="preserve">D-03</t>
  </si>
  <si>
    <r>
      <rPr>
        <sz val="10"/>
        <rFont val="Arial"/>
        <family val="0"/>
        <charset val="1"/>
      </rPr>
      <t xml:space="preserve">ETA </t>
    </r>
    <r>
      <rPr>
        <sz val="10"/>
        <rFont val="Noto Sans CJK SC"/>
        <family val="2"/>
      </rPr>
      <t xml:space="preserve">演算法</t>
    </r>
  </si>
  <si>
    <r>
      <rPr>
        <sz val="10"/>
        <rFont val="Noto Sans CJK SC"/>
        <family val="2"/>
      </rPr>
      <t xml:space="preserve">摯陞 </t>
    </r>
    <r>
      <rPr>
        <sz val="10"/>
        <rFont val="Arial"/>
        <family val="0"/>
        <charset val="1"/>
      </rPr>
      <t xml:space="preserve">ETA </t>
    </r>
    <r>
      <rPr>
        <sz val="10"/>
        <rFont val="Noto Sans CJK SC"/>
        <family val="2"/>
      </rPr>
      <t xml:space="preserve">輸出接入供 </t>
    </r>
    <r>
      <rPr>
        <sz val="10"/>
        <rFont val="Arial"/>
        <family val="0"/>
        <charset val="1"/>
      </rPr>
      <t xml:space="preserve">eta </t>
    </r>
    <r>
      <rPr>
        <sz val="10"/>
        <rFont val="Noto Sans CJK SC"/>
        <family val="2"/>
      </rPr>
      <t xml:space="preserve">警報</t>
    </r>
  </si>
  <si>
    <t xml:space="preserve">取演算法輸出</t>
  </si>
  <si>
    <t xml:space="preserve">數值正確帶入</t>
  </si>
  <si>
    <t xml:space="preserve">D-04</t>
  </si>
  <si>
    <t xml:space="preserve">計畫航線</t>
  </si>
  <si>
    <r>
      <rPr>
        <sz val="10"/>
        <rFont val="Arial"/>
        <family val="0"/>
        <charset val="1"/>
      </rPr>
      <t xml:space="preserve">VPS </t>
    </r>
    <r>
      <rPr>
        <sz val="10"/>
        <rFont val="Noto Sans CJK SC"/>
        <family val="2"/>
      </rPr>
      <t xml:space="preserve">計畫航線供 </t>
    </r>
    <r>
      <rPr>
        <sz val="10"/>
        <rFont val="Arial"/>
        <family val="0"/>
        <charset val="1"/>
      </rPr>
      <t xml:space="preserve">off </t>
    </r>
    <r>
      <rPr>
        <sz val="10"/>
        <rFont val="Noto Sans CJK SC"/>
        <family val="2"/>
      </rPr>
      <t xml:space="preserve">警報</t>
    </r>
  </si>
  <si>
    <t xml:space="preserve">載入航線</t>
  </si>
  <si>
    <r>
      <rPr>
        <sz val="10"/>
        <rFont val="Arial"/>
        <family val="0"/>
        <charset val="1"/>
      </rPr>
      <t xml:space="preserve">XTD </t>
    </r>
    <r>
      <rPr>
        <sz val="10"/>
        <rFont val="Noto Sans CJK SC"/>
        <family val="2"/>
      </rPr>
      <t xml:space="preserve">基準正確</t>
    </r>
  </si>
  <si>
    <t xml:space="preserve">D-05</t>
  </si>
  <si>
    <t xml:space="preserve">氣象預報</t>
  </si>
  <si>
    <r>
      <rPr>
        <sz val="10"/>
        <rFont val="Arial"/>
        <family val="0"/>
        <charset val="1"/>
      </rPr>
      <t xml:space="preserve">ECMWF/GFS </t>
    </r>
    <r>
      <rPr>
        <sz val="10"/>
        <rFont val="Noto Sans CJK SC"/>
        <family val="2"/>
      </rPr>
      <t xml:space="preserve">接入並對齊 </t>
    </r>
    <r>
      <rPr>
        <sz val="10"/>
        <rFont val="Arial"/>
        <family val="0"/>
        <charset val="1"/>
      </rPr>
      <t xml:space="preserve">6h </t>
    </r>
    <r>
      <rPr>
        <sz val="10"/>
        <rFont val="Noto Sans CJK SC"/>
        <family val="2"/>
      </rPr>
      <t xml:space="preserve">更新</t>
    </r>
  </si>
  <si>
    <t xml:space="preserve">取預報網格</t>
  </si>
  <si>
    <r>
      <rPr>
        <sz val="10"/>
        <rFont val="Noto Sans CJK SC"/>
        <family val="2"/>
      </rPr>
      <t xml:space="preserve">對應位置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時間查得值</t>
    </r>
  </si>
  <si>
    <t xml:space="preserve">D-06</t>
  </si>
  <si>
    <t xml:space="preserve">船端午報</t>
  </si>
  <si>
    <r>
      <rPr>
        <sz val="10"/>
        <rFont val="Arial"/>
        <family val="0"/>
        <charset val="1"/>
      </rPr>
      <t xml:space="preserve">T+1 </t>
    </r>
    <r>
      <rPr>
        <sz val="10"/>
        <rFont val="Noto Sans CJK SC"/>
        <family val="2"/>
      </rPr>
      <t xml:space="preserve">油耗</t>
    </r>
    <r>
      <rPr>
        <sz val="10"/>
        <rFont val="Arial"/>
        <family val="0"/>
        <charset val="1"/>
      </rPr>
      <t xml:space="preserve">/ROB </t>
    </r>
    <r>
      <rPr>
        <sz val="10"/>
        <rFont val="Noto Sans CJK SC"/>
        <family val="2"/>
      </rPr>
      <t xml:space="preserve">入帳供 </t>
    </r>
    <r>
      <rPr>
        <sz val="10"/>
        <rFont val="Arial"/>
        <family val="0"/>
        <charset val="1"/>
      </rPr>
      <t xml:space="preserve">bunker/CII</t>
    </r>
  </si>
  <si>
    <t xml:space="preserve">匯入午報</t>
  </si>
  <si>
    <t xml:space="preserve">延遲入帳正確、不即時誤判</t>
  </si>
  <si>
    <t xml:space="preserve">D-07</t>
  </si>
  <si>
    <r>
      <rPr>
        <sz val="10"/>
        <rFont val="Arial"/>
        <family val="0"/>
        <charset val="1"/>
      </rPr>
      <t xml:space="preserve">RPM </t>
    </r>
    <r>
      <rPr>
        <sz val="10"/>
        <rFont val="Noto Sans CJK SC"/>
        <family val="2"/>
      </rPr>
      <t xml:space="preserve">資料</t>
    </r>
  </si>
  <si>
    <r>
      <rPr>
        <sz val="10"/>
        <rFont val="Arial"/>
        <family val="0"/>
        <charset val="1"/>
      </rPr>
      <t xml:space="preserve">Engine Datalogger RPM </t>
    </r>
    <r>
      <rPr>
        <sz val="10"/>
        <rFont val="Noto Sans CJK SC"/>
        <family val="2"/>
      </rPr>
      <t xml:space="preserve">供船速異常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含</t>
    </r>
    <r>
      <rPr>
        <sz val="10"/>
        <rFont val="Arial"/>
        <family val="0"/>
        <charset val="1"/>
      </rPr>
      <t xml:space="preserve">RPM)</t>
    </r>
    <r>
      <rPr>
        <sz val="10"/>
        <rFont val="Noto Sans CJK SC"/>
        <family val="2"/>
      </rPr>
      <t xml:space="preserve">雙因子判定</t>
    </r>
  </si>
  <si>
    <r>
      <rPr>
        <sz val="10"/>
        <rFont val="Noto Sans CJK SC"/>
        <family val="2"/>
      </rPr>
      <t xml:space="preserve">接入 </t>
    </r>
    <r>
      <rPr>
        <sz val="10"/>
        <rFont val="Arial"/>
        <family val="0"/>
        <charset val="1"/>
      </rPr>
      <t xml:space="preserve">RPM</t>
    </r>
  </si>
  <si>
    <r>
      <rPr>
        <sz val="10"/>
        <rFont val="Arial"/>
        <family val="0"/>
        <charset val="1"/>
      </rPr>
      <t xml:space="preserve">RPM </t>
    </r>
    <r>
      <rPr>
        <sz val="10"/>
        <rFont val="Noto Sans CJK SC"/>
        <family val="2"/>
      </rPr>
      <t xml:space="preserve">接入正確、雙因子判定可用</t>
    </r>
  </si>
  <si>
    <t xml:space="preserve">D-08</t>
  </si>
  <si>
    <t xml:space="preserve">性能曲線</t>
  </si>
  <si>
    <r>
      <rPr>
        <sz val="10"/>
        <rFont val="Arial"/>
        <family val="0"/>
        <charset val="1"/>
      </rPr>
      <t xml:space="preserve">baseline (6 </t>
    </r>
    <r>
      <rPr>
        <sz val="10"/>
        <rFont val="Noto Sans CJK SC"/>
        <family val="2"/>
      </rPr>
      <t xml:space="preserve">個月校準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供 </t>
    </r>
    <r>
      <rPr>
        <sz val="10"/>
        <rFont val="Arial"/>
        <family val="0"/>
        <charset val="1"/>
      </rPr>
      <t xml:space="preserve">high </t>
    </r>
    <r>
      <rPr>
        <sz val="10"/>
        <rFont val="Noto Sans CJK SC"/>
        <family val="2"/>
      </rPr>
      <t xml:space="preserve">偏差</t>
    </r>
  </si>
  <si>
    <t xml:space="preserve">載入曲線</t>
  </si>
  <si>
    <t xml:space="preserve">偏差基準正確</t>
  </si>
  <si>
    <t xml:space="preserve">D-09</t>
  </si>
  <si>
    <t xml:space="preserve">排放因子</t>
  </si>
  <si>
    <r>
      <rPr>
        <sz val="10"/>
        <rFont val="Arial"/>
        <family val="0"/>
        <charset val="1"/>
      </rPr>
      <t xml:space="preserve">IMO DCS </t>
    </r>
    <r>
      <rPr>
        <sz val="10"/>
        <rFont val="Noto Sans CJK SC"/>
        <family val="2"/>
      </rPr>
      <t xml:space="preserve">排放因子表供 </t>
    </r>
    <r>
      <rPr>
        <sz val="10"/>
        <rFont val="Arial"/>
        <family val="0"/>
        <charset val="1"/>
      </rPr>
      <t xml:space="preserve">CII</t>
    </r>
  </si>
  <si>
    <t xml:space="preserve">載入因子表</t>
  </si>
  <si>
    <r>
      <rPr>
        <sz val="10"/>
        <rFont val="Arial"/>
        <family val="0"/>
        <charset val="1"/>
      </rPr>
      <t xml:space="preserve">CII </t>
    </r>
    <r>
      <rPr>
        <sz val="10"/>
        <rFont val="Noto Sans CJK SC"/>
        <family val="2"/>
      </rPr>
      <t xml:space="preserve">計算採正確因子</t>
    </r>
  </si>
  <si>
    <t xml:space="preserve">D-10</t>
  </si>
  <si>
    <t xml:space="preserve">人事系統</t>
  </si>
  <si>
    <r>
      <rPr>
        <sz val="10"/>
        <rFont val="Arial"/>
        <family val="0"/>
        <charset val="1"/>
      </rPr>
      <t xml:space="preserve">HRM </t>
    </r>
    <r>
      <rPr>
        <sz val="10"/>
        <rFont val="Noto Sans CJK SC"/>
        <family val="2"/>
      </rPr>
      <t xml:space="preserve">證書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生日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登離船供船員警報</t>
    </r>
  </si>
  <si>
    <r>
      <rPr>
        <sz val="10"/>
        <rFont val="Noto Sans CJK SC"/>
        <family val="2"/>
      </rPr>
      <t xml:space="preserve">同步 </t>
    </r>
    <r>
      <rPr>
        <sz val="10"/>
        <rFont val="Arial"/>
        <family val="0"/>
        <charset val="1"/>
      </rPr>
      <t xml:space="preserve">HRM</t>
    </r>
  </si>
  <si>
    <t xml:space="preserve">資料正確、定期同步</t>
  </si>
  <si>
    <t xml:space="preserve">D-11</t>
  </si>
  <si>
    <t xml:space="preserve">資料源故障</t>
  </si>
  <si>
    <r>
      <rPr>
        <sz val="10"/>
        <rFont val="Noto Sans CJK SC"/>
        <family val="2"/>
      </rPr>
      <t xml:space="preserve">外部源</t>
    </r>
    <r>
      <rPr>
        <sz val="10"/>
        <rFont val="Arial"/>
        <family val="0"/>
        <charset val="1"/>
      </rPr>
      <t xml:space="preserve">/CDN </t>
    </r>
    <r>
      <rPr>
        <sz val="10"/>
        <rFont val="Noto Sans CJK SC"/>
        <family val="2"/>
      </rPr>
      <t xml:space="preserve">故障時降級</t>
    </r>
  </si>
  <si>
    <t xml:space="preserve">模擬源失效</t>
  </si>
  <si>
    <t xml:space="preserve">降級且不崩潰、有告警</t>
  </si>
  <si>
    <t xml:space="preserve">D-12</t>
  </si>
  <si>
    <t xml:space="preserve">時間戳</t>
  </si>
  <si>
    <r>
      <rPr>
        <sz val="10"/>
        <rFont val="Noto Sans CJK SC"/>
        <family val="2"/>
      </rPr>
      <t xml:space="preserve">各源 </t>
    </r>
    <r>
      <rPr>
        <sz val="10"/>
        <rFont val="Arial"/>
        <family val="0"/>
        <charset val="1"/>
      </rPr>
      <t xml:space="preserve">UTC/LT </t>
    </r>
    <r>
      <rPr>
        <sz val="10"/>
        <rFont val="Noto Sans CJK SC"/>
        <family val="2"/>
      </rPr>
      <t xml:space="preserve">一致性</t>
    </r>
  </si>
  <si>
    <t xml:space="preserve">比對時間戳</t>
  </si>
  <si>
    <t xml:space="preserve">時區換算一致</t>
  </si>
  <si>
    <t xml:space="preserve">D-13</t>
  </si>
  <si>
    <r>
      <rPr>
        <sz val="10"/>
        <rFont val="Arial"/>
        <family val="0"/>
        <charset val="1"/>
      </rPr>
      <t xml:space="preserve">PII </t>
    </r>
    <r>
      <rPr>
        <sz val="10"/>
        <rFont val="Noto Sans CJK SC"/>
        <family val="2"/>
      </rPr>
      <t xml:space="preserve">保護</t>
    </r>
  </si>
  <si>
    <r>
      <rPr>
        <sz val="10"/>
        <rFont val="Noto Sans CJK SC"/>
        <family val="2"/>
      </rPr>
      <t xml:space="preserve">船員生日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證書等個資保護</t>
    </r>
  </si>
  <si>
    <r>
      <rPr>
        <sz val="10"/>
        <rFont val="Noto Sans CJK SC"/>
        <family val="2"/>
      </rPr>
      <t xml:space="preserve">檢視儲存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傳輸</t>
    </r>
  </si>
  <si>
    <r>
      <rPr>
        <sz val="10"/>
        <rFont val="Noto Sans CJK SC"/>
        <family val="2"/>
      </rPr>
      <t xml:space="preserve">加密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最小揭露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存取控管</t>
    </r>
  </si>
  <si>
    <t xml:space="preserve">E-01</t>
  </si>
  <si>
    <t xml:space="preserve">模板生成</t>
  </si>
  <si>
    <r>
      <rPr>
        <sz val="10"/>
        <rFont val="Noto Sans CJK SC"/>
        <family val="2"/>
      </rPr>
      <t xml:space="preserve">各欄位模板生成 </t>
    </r>
    <r>
      <rPr>
        <sz val="10"/>
        <rFont val="Arial"/>
        <family val="0"/>
        <charset val="1"/>
      </rPr>
      <t xml:space="preserve">subject/body </t>
    </r>
    <r>
      <rPr>
        <sz val="10"/>
        <rFont val="Noto Sans CJK SC"/>
        <family val="2"/>
      </rPr>
      <t xml:space="preserve">無錯</t>
    </r>
  </si>
  <si>
    <r>
      <rPr>
        <sz val="10"/>
        <rFont val="Noto Sans CJK SC"/>
        <family val="2"/>
      </rPr>
      <t xml:space="preserve">逐欄位預覽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寄送</t>
    </r>
  </si>
  <si>
    <t xml:space="preserve">皆能生成、無未定義</t>
  </si>
  <si>
    <t xml:space="preserve">E-02</t>
  </si>
  <si>
    <t xml:space="preserve">收件人</t>
  </si>
  <si>
    <r>
      <rPr>
        <sz val="10"/>
        <rFont val="Noto Sans CJK SC"/>
        <family val="2"/>
      </rPr>
      <t xml:space="preserve">內部使用者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自訂 </t>
    </r>
    <r>
      <rPr>
        <sz val="10"/>
        <rFont val="Arial"/>
        <family val="0"/>
        <charset val="1"/>
      </rPr>
      <t xml:space="preserve">Mail </t>
    </r>
    <r>
      <rPr>
        <sz val="10"/>
        <rFont val="Noto Sans CJK SC"/>
        <family val="2"/>
      </rPr>
      <t xml:space="preserve">合併去重</t>
    </r>
  </si>
  <si>
    <t xml:space="preserve">兩者皆設定含重複</t>
  </si>
  <si>
    <t xml:space="preserve">合併去重、地址正確</t>
  </si>
  <si>
    <t xml:space="preserve">E-03</t>
  </si>
  <si>
    <t xml:space="preserve">相容性</t>
  </si>
  <si>
    <r>
      <rPr>
        <sz val="10"/>
        <rFont val="Arial"/>
        <family val="0"/>
        <charset val="1"/>
      </rPr>
      <t xml:space="preserve">Gmail </t>
    </r>
    <r>
      <rPr>
        <sz val="10"/>
        <rFont val="Noto Sans CJK SC"/>
        <family val="2"/>
      </rPr>
      <t xml:space="preserve">版面正確</t>
    </r>
  </si>
  <si>
    <r>
      <rPr>
        <sz val="10"/>
        <rFont val="Noto Sans CJK SC"/>
        <family val="2"/>
      </rPr>
      <t xml:space="preserve">實際寄送 </t>
    </r>
    <r>
      <rPr>
        <sz val="10"/>
        <rFont val="Arial"/>
        <family val="0"/>
        <charset val="1"/>
      </rPr>
      <t xml:space="preserve">Gmail</t>
    </r>
  </si>
  <si>
    <r>
      <rPr>
        <sz val="10"/>
        <rFont val="Arial"/>
        <family val="0"/>
        <charset val="1"/>
      </rPr>
      <t xml:space="preserve">table/inline CSS </t>
    </r>
    <r>
      <rPr>
        <sz val="10"/>
        <rFont val="Noto Sans CJK SC"/>
        <family val="2"/>
      </rPr>
      <t xml:space="preserve">不破版</t>
    </r>
  </si>
  <si>
    <t xml:space="preserve">E-04</t>
  </si>
  <si>
    <r>
      <rPr>
        <sz val="10"/>
        <rFont val="Arial"/>
        <family val="0"/>
        <charset val="1"/>
      </rPr>
      <t xml:space="preserve">Outlook </t>
    </r>
    <r>
      <rPr>
        <sz val="10"/>
        <rFont val="Noto Sans CJK SC"/>
        <family val="2"/>
      </rPr>
      <t xml:space="preserve">桌面 </t>
    </r>
    <r>
      <rPr>
        <sz val="10"/>
        <rFont val="Arial"/>
        <family val="0"/>
        <charset val="1"/>
      </rPr>
      <t xml:space="preserve">/ Web </t>
    </r>
    <r>
      <rPr>
        <sz val="10"/>
        <rFont val="Noto Sans CJK SC"/>
        <family val="2"/>
      </rPr>
      <t xml:space="preserve">版面正確</t>
    </r>
  </si>
  <si>
    <r>
      <rPr>
        <sz val="10"/>
        <rFont val="Noto Sans CJK SC"/>
        <family val="2"/>
      </rPr>
      <t xml:space="preserve">寄送 </t>
    </r>
    <r>
      <rPr>
        <sz val="10"/>
        <rFont val="Arial"/>
        <family val="0"/>
        <charset val="1"/>
      </rPr>
      <t xml:space="preserve">Outlook</t>
    </r>
  </si>
  <si>
    <t xml:space="preserve">版面正確</t>
  </si>
  <si>
    <t xml:space="preserve">E-05</t>
  </si>
  <si>
    <r>
      <rPr>
        <sz val="10"/>
        <rFont val="Arial"/>
        <family val="0"/>
        <charset val="1"/>
      </rPr>
      <t xml:space="preserve">Thunderbird / </t>
    </r>
    <r>
      <rPr>
        <sz val="10"/>
        <rFont val="Noto Sans CJK SC"/>
        <family val="2"/>
      </rPr>
      <t xml:space="preserve">行動裝置版面正確</t>
    </r>
  </si>
  <si>
    <t xml:space="preserve">寄送驗證</t>
  </si>
  <si>
    <t xml:space="preserve">E-06</t>
  </si>
  <si>
    <t xml:space="preserve">解除連結</t>
  </si>
  <si>
    <r>
      <rPr>
        <sz val="10"/>
        <rFont val="Noto Sans CJK SC"/>
        <family val="2"/>
      </rPr>
      <t xml:space="preserve">僅持續發送類含連結且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正確可點</t>
    </r>
  </si>
  <si>
    <t xml:space="preserve">重複類</t>
  </si>
  <si>
    <r>
      <rPr>
        <sz val="10"/>
        <rFont val="Noto Sans CJK SC"/>
        <family val="2"/>
      </rPr>
      <t xml:space="preserve">檢視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點連結</t>
    </r>
  </si>
  <si>
    <t xml:space="preserve">連結正確、可解除</t>
  </si>
  <si>
    <t xml:space="preserve">E-07</t>
  </si>
  <si>
    <t xml:space="preserve">變數帶入</t>
  </si>
  <si>
    <r>
      <rPr>
        <sz val="10"/>
        <rFont val="Noto Sans CJK SC"/>
        <family val="2"/>
      </rPr>
      <t xml:space="preserve">船名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數值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時間等變數正確</t>
    </r>
  </si>
  <si>
    <t xml:space="preserve">比對內容</t>
  </si>
  <si>
    <t xml:space="preserve">變數值正確</t>
  </si>
  <si>
    <t xml:space="preserve">E-08</t>
  </si>
  <si>
    <t xml:space="preserve">版本差異</t>
  </si>
  <si>
    <r>
      <rPr>
        <sz val="10"/>
        <rFont val="Noto Sans CJK SC"/>
        <family val="2"/>
      </rPr>
      <t xml:space="preserve">內部版顯示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研判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建議動作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客戶版隱藏</t>
    </r>
  </si>
  <si>
    <t xml:space="preserve">兩版各寄一封</t>
  </si>
  <si>
    <r>
      <rPr>
        <sz val="10"/>
        <rFont val="Noto Sans CJK SC"/>
        <family val="2"/>
      </rPr>
      <t xml:space="preserve">顯示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隱藏正確</t>
    </r>
  </si>
  <si>
    <t xml:space="preserve">E-09</t>
  </si>
  <si>
    <t xml:space="preserve">寄送可靠</t>
  </si>
  <si>
    <t xml:space="preserve">寄送失敗重試與退信處理</t>
  </si>
  <si>
    <r>
      <rPr>
        <sz val="10"/>
        <rFont val="Noto Sans CJK SC"/>
        <family val="2"/>
      </rPr>
      <t xml:space="preserve">模擬失敗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退信</t>
    </r>
  </si>
  <si>
    <t xml:space="preserve">重試、記錄、不漏發</t>
  </si>
  <si>
    <t xml:space="preserve">E-10</t>
  </si>
  <si>
    <t xml:space="preserve">送達率</t>
  </si>
  <si>
    <r>
      <rPr>
        <sz val="10"/>
        <rFont val="Arial"/>
        <family val="0"/>
        <charset val="1"/>
      </rPr>
      <t xml:space="preserve">SPF/DKIM/DMARC </t>
    </r>
    <r>
      <rPr>
        <sz val="10"/>
        <rFont val="Noto Sans CJK SC"/>
        <family val="2"/>
      </rPr>
      <t xml:space="preserve">設定避免進垃圾信</t>
    </r>
  </si>
  <si>
    <t xml:space="preserve">寄至多服務商</t>
  </si>
  <si>
    <t xml:space="preserve">進收件匣</t>
  </si>
  <si>
    <t xml:space="preserve">E-11</t>
  </si>
  <si>
    <t xml:space="preserve">編碼</t>
  </si>
  <si>
    <r>
      <rPr>
        <sz val="10"/>
        <rFont val="Noto Sans CJK SC"/>
        <family val="2"/>
      </rPr>
      <t xml:space="preserve">中文主旨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內文編碼正確</t>
    </r>
  </si>
  <si>
    <t xml:space="preserve">含中文寄送</t>
  </si>
  <si>
    <t xml:space="preserve">無亂碼</t>
  </si>
  <si>
    <t xml:space="preserve">E-12</t>
  </si>
  <si>
    <r>
      <rPr>
        <sz val="10"/>
        <rFont val="Noto Sans CJK SC"/>
        <family val="2"/>
      </rPr>
      <t xml:space="preserve">收件人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內容注入防護</t>
    </r>
  </si>
  <si>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payload </t>
    </r>
    <r>
      <rPr>
        <sz val="10"/>
        <rFont val="Noto Sans CJK SC"/>
        <family val="2"/>
      </rPr>
      <t xml:space="preserve">設定寄送</t>
    </r>
  </si>
  <si>
    <r>
      <rPr>
        <sz val="10"/>
        <rFont val="Noto Sans CJK SC"/>
        <family val="2"/>
      </rPr>
      <t xml:space="preserve">無郵件注入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標頭注入</t>
    </r>
  </si>
  <si>
    <t xml:space="preserve">R-01</t>
  </si>
  <si>
    <r>
      <rPr>
        <sz val="10"/>
        <rFont val="Arial"/>
        <family val="0"/>
        <charset val="1"/>
      </rPr>
      <t xml:space="preserve">CII</t>
    </r>
    <r>
      <rPr>
        <sz val="10"/>
        <rFont val="Noto Sans CJK SC"/>
        <family val="2"/>
      </rPr>
      <t xml:space="preserve">月報</t>
    </r>
  </si>
  <si>
    <r>
      <rPr>
        <sz val="10"/>
        <rFont val="Noto Sans CJK SC"/>
        <family val="2"/>
      </rPr>
      <t xml:space="preserve">報表於每月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08:00</t>
    </r>
    <r>
      <rPr>
        <sz val="10"/>
        <rFont val="Noto Sans CJK SC"/>
        <family val="2"/>
      </rPr>
      <t xml:space="preserve">重算後產出</t>
    </r>
  </si>
  <si>
    <r>
      <rPr>
        <sz val="10"/>
        <rFont val="Arial"/>
        <family val="0"/>
        <charset val="1"/>
      </rPr>
      <t xml:space="preserve">CII </t>
    </r>
    <r>
      <rPr>
        <sz val="10"/>
        <rFont val="Noto Sans CJK SC"/>
        <family val="2"/>
      </rPr>
      <t xml:space="preserve">警報</t>
    </r>
  </si>
  <si>
    <t xml:space="preserve">到月初時點</t>
  </si>
  <si>
    <r>
      <rPr>
        <sz val="10"/>
        <rFont val="Arial"/>
        <family val="0"/>
        <charset val="1"/>
      </rPr>
      <t xml:space="preserve">08:00 </t>
    </r>
    <r>
      <rPr>
        <sz val="10"/>
        <rFont val="Noto Sans CJK SC"/>
        <family val="2"/>
      </rPr>
      <t xml:space="preserve">重算後產出月報</t>
    </r>
  </si>
  <si>
    <t xml:space="preserve">R-02</t>
  </si>
  <si>
    <t xml:space="preserve">高風險船舶清單欄位齊全</t>
  </si>
  <si>
    <t xml:space="preserve">檢視報表</t>
  </si>
  <si>
    <r>
      <rPr>
        <sz val="10"/>
        <rFont val="Noto Sans CJK SC"/>
        <family val="2"/>
      </rPr>
      <t xml:space="preserve">含 船舶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目前評等</t>
    </r>
    <r>
      <rPr>
        <sz val="10"/>
        <rFont val="Arial"/>
        <family val="0"/>
        <charset val="1"/>
      </rPr>
      <t xml:space="preserve">(YTD)/</t>
    </r>
    <r>
      <rPr>
        <sz val="10"/>
        <rFont val="Noto Sans CJK SC"/>
        <family val="2"/>
      </rPr>
      <t xml:space="preserve">預測明年評等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降級年份預警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狀態說明</t>
    </r>
  </si>
  <si>
    <t xml:space="preserve">R-03</t>
  </si>
  <si>
    <t xml:space="preserve">降級年份預警計算正確</t>
  </si>
  <si>
    <t xml:space="preserve">檢視高風險船</t>
  </si>
  <si>
    <r>
      <rPr>
        <sz val="10"/>
        <rFont val="Noto Sans CJK SC"/>
        <family val="2"/>
      </rPr>
      <t xml:space="preserve">顯示「預計 </t>
    </r>
    <r>
      <rPr>
        <sz val="10"/>
        <rFont val="Arial"/>
        <family val="0"/>
        <charset val="1"/>
      </rPr>
      <t xml:space="preserve">20XX </t>
    </r>
    <r>
      <rPr>
        <sz val="10"/>
        <rFont val="Noto Sans CJK SC"/>
        <family val="2"/>
      </rPr>
      <t xml:space="preserve">年降至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級」且年份正確</t>
    </r>
  </si>
  <si>
    <t xml:space="preserve">R-04</t>
  </si>
  <si>
    <r>
      <rPr>
        <sz val="10"/>
        <rFont val="Noto Sans CJK SC"/>
        <family val="2"/>
      </rPr>
      <t xml:space="preserve">改善建議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節省燃油計算</t>
    </r>
  </si>
  <si>
    <t xml:space="preserve">檢視改善建議</t>
  </si>
  <si>
    <r>
      <rPr>
        <sz val="10"/>
        <rFont val="Noto Sans CJK SC"/>
        <family val="2"/>
      </rPr>
      <t xml:space="preserve">「每月需額外節省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噸燃油」計算正確</t>
    </r>
  </si>
  <si>
    <t xml:space="preserve">R-05</t>
  </si>
  <si>
    <r>
      <rPr>
        <sz val="10"/>
        <rFont val="Noto Sans CJK SC"/>
        <family val="2"/>
      </rPr>
      <t xml:space="preserve">改善建議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增加航行計算</t>
    </r>
  </si>
  <si>
    <r>
      <rPr>
        <sz val="10"/>
        <rFont val="Noto Sans CJK SC"/>
        <family val="2"/>
      </rPr>
      <t xml:space="preserve">「需增加航行 </t>
    </r>
    <r>
      <rPr>
        <sz val="10"/>
        <rFont val="Arial"/>
        <family val="0"/>
        <charset val="1"/>
      </rPr>
      <t xml:space="preserve">Y </t>
    </r>
    <r>
      <rPr>
        <sz val="10"/>
        <rFont val="Noto Sans CJK SC"/>
        <family val="2"/>
      </rPr>
      <t xml:space="preserve">海浬」計算正確</t>
    </r>
  </si>
  <si>
    <t xml:space="preserve">R-06</t>
  </si>
  <si>
    <r>
      <rPr>
        <sz val="10"/>
        <rFont val="Arial"/>
        <family val="0"/>
        <charset val="1"/>
      </rPr>
      <t xml:space="preserve">Bunker</t>
    </r>
    <r>
      <rPr>
        <sz val="10"/>
        <rFont val="Noto Sans CJK SC"/>
        <family val="2"/>
      </rPr>
      <t xml:space="preserve">月報</t>
    </r>
  </si>
  <si>
    <t xml:space="preserve">油耗異常船舶清單欄位齊全</t>
  </si>
  <si>
    <t xml:space="preserve">Bunker high</t>
  </si>
  <si>
    <r>
      <rPr>
        <sz val="10"/>
        <rFont val="Noto Sans CJK SC"/>
        <family val="2"/>
      </rPr>
      <t xml:space="preserve">含 上月</t>
    </r>
    <r>
      <rPr>
        <sz val="10"/>
        <rFont val="Arial"/>
        <family val="0"/>
        <charset val="1"/>
      </rPr>
      <t xml:space="preserve">(MT/NM)/</t>
    </r>
    <r>
      <rPr>
        <sz val="10"/>
        <rFont val="Noto Sans CJK SC"/>
        <family val="2"/>
      </rPr>
      <t xml:space="preserve">歷史平均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異常增幅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關聯狀態</t>
    </r>
  </si>
  <si>
    <t xml:space="preserve">R-07</t>
  </si>
  <si>
    <r>
      <rPr>
        <sz val="10"/>
        <rFont val="Noto Sans CJK SC"/>
        <family val="2"/>
      </rPr>
      <t xml:space="preserve">異常增幅</t>
    </r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</rPr>
      <t xml:space="preserve">計算正確</t>
    </r>
  </si>
  <si>
    <t xml:space="preserve">比對數值</t>
  </si>
  <si>
    <r>
      <rPr>
        <sz val="10"/>
        <rFont val="Noto Sans CJK SC"/>
        <family val="2"/>
      </rPr>
      <t xml:space="preserve">增幅 </t>
    </r>
    <r>
      <rPr>
        <sz val="10"/>
        <rFont val="Arial"/>
        <family val="0"/>
        <charset val="1"/>
      </rPr>
      <t xml:space="preserve">=(</t>
    </r>
    <r>
      <rPr>
        <sz val="10"/>
        <rFont val="Noto Sans CJK SC"/>
        <family val="2"/>
      </rPr>
      <t xml:space="preserve">上月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歷史平均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歷史平均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與門檻比對</t>
    </r>
  </si>
  <si>
    <t xml:space="preserve">R-08</t>
  </si>
  <si>
    <r>
      <rPr>
        <sz val="10"/>
        <rFont val="Noto Sans CJK SC"/>
        <family val="2"/>
      </rPr>
      <t xml:space="preserve">關聯 </t>
    </r>
    <r>
      <rPr>
        <sz val="10"/>
        <rFont val="Arial"/>
        <family val="0"/>
        <charset val="1"/>
      </rPr>
      <t xml:space="preserve">CII </t>
    </r>
    <r>
      <rPr>
        <sz val="10"/>
        <rFont val="Noto Sans CJK SC"/>
        <family val="2"/>
      </rPr>
      <t xml:space="preserve">狀態正確帶入</t>
    </r>
  </si>
  <si>
    <t xml:space="preserve">檢視關聯狀態</t>
  </si>
  <si>
    <r>
      <rPr>
        <sz val="10"/>
        <rFont val="Noto Sans CJK SC"/>
        <family val="2"/>
      </rPr>
      <t xml:space="preserve">如「本月 </t>
    </r>
    <r>
      <rPr>
        <sz val="10"/>
        <rFont val="Arial"/>
        <family val="0"/>
        <charset val="1"/>
      </rPr>
      <t xml:space="preserve">CII </t>
    </r>
    <r>
      <rPr>
        <sz val="10"/>
        <rFont val="Noto Sans CJK SC"/>
        <family val="2"/>
      </rPr>
      <t xml:space="preserve">已降至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級」正確顯示</t>
    </r>
  </si>
  <si>
    <t xml:space="preserve">R-09</t>
  </si>
  <si>
    <t xml:space="preserve">船員週報</t>
  </si>
  <si>
    <t xml:space="preserve">同時產出船隊報表與各船報表</t>
  </si>
  <si>
    <t xml:space="preserve">船員警報</t>
  </si>
  <si>
    <t xml:space="preserve">檢視週報</t>
  </si>
  <si>
    <t xml:space="preserve">兩種報表皆產出且資料對應</t>
  </si>
  <si>
    <t xml:space="preserve">R-10</t>
  </si>
  <si>
    <t xml:space="preserve">證書到期表欄位與狀態正確</t>
  </si>
  <si>
    <t xml:space="preserve">cert</t>
  </si>
  <si>
    <t xml:space="preserve">檢視證書表</t>
  </si>
  <si>
    <r>
      <rPr>
        <sz val="10"/>
        <rFont val="Noto Sans CJK SC"/>
        <family val="2"/>
      </rPr>
      <t xml:space="preserve">含 船舶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職級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姓名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證書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到期日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狀態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剩餘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逾期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)</t>
    </r>
  </si>
  <si>
    <t xml:space="preserve">R-11</t>
  </si>
  <si>
    <t xml:space="preserve">任職超時表計算正確</t>
  </si>
  <si>
    <t xml:space="preserve">svc</t>
  </si>
  <si>
    <t xml:space="preserve">檢視任職表</t>
  </si>
  <si>
    <r>
      <rPr>
        <sz val="10"/>
        <rFont val="Noto Sans CJK SC"/>
        <family val="2"/>
      </rPr>
      <t xml:space="preserve">上船日期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累計在船天數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超門檻狀態正確</t>
    </r>
  </si>
  <si>
    <t xml:space="preserve">R-12</t>
  </si>
  <si>
    <t xml:space="preserve">年齡警示表計算正確</t>
  </si>
  <si>
    <t xml:space="preserve">age</t>
  </si>
  <si>
    <t xml:space="preserve">檢視年齡表</t>
  </si>
  <si>
    <r>
      <rPr>
        <sz val="10"/>
        <rFont val="Noto Sans CJK SC"/>
        <family val="2"/>
      </rPr>
      <t xml:space="preserve">出生年月日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目前年齡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達警示狀態正確</t>
    </r>
  </si>
  <si>
    <t xml:space="preserve">R-13</t>
  </si>
  <si>
    <t xml:space="preserve">報表寄送</t>
  </si>
  <si>
    <t xml:space="preserve">報表於正確時點推播</t>
  </si>
  <si>
    <t xml:space="preserve">觀察排程</t>
  </si>
  <si>
    <r>
      <rPr>
        <sz val="10"/>
        <rFont val="Arial"/>
        <family val="0"/>
        <charset val="1"/>
      </rPr>
      <t xml:space="preserve">CII/Bunker </t>
    </r>
    <r>
      <rPr>
        <sz val="10"/>
        <rFont val="Noto Sans CJK SC"/>
        <family val="2"/>
      </rPr>
      <t xml:space="preserve">每月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08:00</t>
    </r>
    <r>
      <rPr>
        <sz val="10"/>
        <rFont val="Noto Sans CJK SC"/>
        <family val="2"/>
      </rPr>
      <t xml:space="preserve">、船員每週一推播</t>
    </r>
  </si>
  <si>
    <t xml:space="preserve">R-14</t>
  </si>
  <si>
    <t xml:space="preserve">報表呈現</t>
  </si>
  <si>
    <r>
      <rPr>
        <sz val="10"/>
        <rFont val="Noto Sans CJK SC"/>
        <family val="2"/>
      </rPr>
      <t xml:space="preserve">狀態圖示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門檻標示正確</t>
    </r>
  </si>
  <si>
    <t xml:space="preserve">檢視各報表</t>
  </si>
  <si>
    <r>
      <rPr>
        <sz val="10"/>
        <rFont val="Arial"/>
        <family val="0"/>
        <charset val="1"/>
      </rPr>
      <t xml:space="preserve">⚠️/❌ </t>
    </r>
    <r>
      <rPr>
        <sz val="10"/>
        <rFont val="Noto Sans CJK SC"/>
        <family val="2"/>
      </rPr>
      <t xml:space="preserve">等標示與門檻一致</t>
    </r>
  </si>
  <si>
    <t xml:space="preserve">T-01</t>
  </si>
  <si>
    <t xml:space="preserve">全鏈路</t>
  </si>
  <si>
    <r>
      <rPr>
        <sz val="10"/>
        <rFont val="Noto Sans CJK SC"/>
        <family val="2"/>
      </rPr>
      <t xml:space="preserve">建立警報→儲存→排程→模擬觸發→</t>
    </r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送達</t>
    </r>
  </si>
  <si>
    <t xml:space="preserve">整合環境</t>
  </si>
  <si>
    <r>
      <rPr>
        <sz val="10"/>
        <rFont val="Noto Sans CJK SC"/>
        <family val="2"/>
      </rPr>
      <t xml:space="preserve">航次 </t>
    </r>
    <r>
      <rPr>
        <sz val="10"/>
        <rFont val="Arial"/>
        <family val="0"/>
        <charset val="1"/>
      </rPr>
      <t xml:space="preserve">eta </t>
    </r>
    <r>
      <rPr>
        <sz val="10"/>
        <rFont val="Noto Sans CJK SC"/>
        <family val="2"/>
      </rPr>
      <t xml:space="preserve">完整情境</t>
    </r>
  </si>
  <si>
    <r>
      <rPr>
        <sz val="10"/>
        <rFont val="Noto Sans CJK SC"/>
        <family val="2"/>
      </rPr>
      <t xml:space="preserve">全鏈路通過、收到正確 </t>
    </r>
    <r>
      <rPr>
        <sz val="10"/>
        <rFont val="Arial"/>
        <family val="0"/>
        <charset val="1"/>
      </rPr>
      <t xml:space="preserve">Email</t>
    </r>
  </si>
  <si>
    <t xml:space="preserve">T-02</t>
  </si>
  <si>
    <t xml:space="preserve">客戶版情境</t>
  </si>
  <si>
    <r>
      <rPr>
        <sz val="10"/>
        <rFont val="Noto Sans CJK SC"/>
        <family val="2"/>
      </rPr>
      <t xml:space="preserve">航次</t>
    </r>
    <r>
      <rPr>
        <sz val="10"/>
        <rFont val="Arial"/>
        <family val="0"/>
        <charset val="1"/>
      </rPr>
      <t xml:space="preserve">/CII/Bunker/</t>
    </r>
    <r>
      <rPr>
        <sz val="10"/>
        <rFont val="Noto Sans CJK SC"/>
        <family val="2"/>
      </rPr>
      <t xml:space="preserve">船員 各一條完整流程</t>
    </r>
  </si>
  <si>
    <t xml:space="preserve">四類各跑一次</t>
  </si>
  <si>
    <t xml:space="preserve">皆正確觸發與發送</t>
  </si>
  <si>
    <t xml:space="preserve">T-03</t>
  </si>
  <si>
    <t xml:space="preserve">內部版情境</t>
  </si>
  <si>
    <r>
      <rPr>
        <sz val="10"/>
        <rFont val="Noto Sans CJK SC"/>
        <family val="2"/>
      </rPr>
      <t xml:space="preserve">含隱藏欄位與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研判完整流程</t>
    </r>
  </si>
  <si>
    <t xml:space="preserve">內部版</t>
  </si>
  <si>
    <r>
      <rPr>
        <sz val="10"/>
        <rFont val="Arial"/>
        <family val="0"/>
        <charset val="1"/>
      </rPr>
      <t xml:space="preserve">spd_rpm/zone </t>
    </r>
    <r>
      <rPr>
        <sz val="10"/>
        <rFont val="Noto Sans CJK SC"/>
        <family val="2"/>
      </rPr>
      <t xml:space="preserve">情境</t>
    </r>
  </si>
  <si>
    <t xml:space="preserve">觸發與內部版內容正確</t>
  </si>
  <si>
    <t xml:space="preserve">T-04</t>
  </si>
  <si>
    <t xml:space="preserve">變更同步</t>
  </si>
  <si>
    <r>
      <rPr>
        <sz val="10"/>
        <rFont val="Noto Sans CJK SC"/>
        <family val="2"/>
      </rPr>
      <t xml:space="preserve">編輯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刪除後排程即時同步</t>
    </r>
  </si>
  <si>
    <t xml:space="preserve">已上線警報</t>
  </si>
  <si>
    <r>
      <rPr>
        <sz val="10"/>
        <rFont val="Noto Sans CJK SC"/>
        <family val="2"/>
      </rPr>
      <t xml:space="preserve">改設定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停用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刪除</t>
    </r>
  </si>
  <si>
    <t xml:space="preserve">排程行為同步更新</t>
  </si>
  <si>
    <t xml:space="preserve">T-05</t>
  </si>
  <si>
    <t xml:space="preserve">解除流程</t>
  </si>
  <si>
    <t xml:space="preserve">點解除→後續不再收到</t>
  </si>
  <si>
    <t xml:space="preserve">解除後等待下次</t>
  </si>
  <si>
    <t xml:space="preserve">不再發送</t>
  </si>
  <si>
    <t xml:space="preserve">T-06</t>
  </si>
  <si>
    <t xml:space="preserve">資料隔離</t>
  </si>
  <si>
    <r>
      <rPr>
        <sz val="10"/>
        <rFont val="Noto Sans CJK SC"/>
        <family val="2"/>
      </rPr>
      <t xml:space="preserve">多使用者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多船隊資料隔離</t>
    </r>
  </si>
  <si>
    <t xml:space="preserve">多租戶</t>
  </si>
  <si>
    <t xml:space="preserve">互查資料</t>
  </si>
  <si>
    <t xml:space="preserve">僅見授權範圍</t>
  </si>
  <si>
    <t xml:space="preserve">T-07</t>
  </si>
  <si>
    <t xml:space="preserve">設定對應</t>
  </si>
  <si>
    <r>
      <rPr>
        <sz val="10"/>
        <rFont val="Noto Sans CJK SC"/>
        <family val="2"/>
      </rPr>
      <t xml:space="preserve">設定變更後 </t>
    </r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內容對應更新</t>
    </r>
  </si>
  <si>
    <t xml:space="preserve">改門檻後觸發</t>
  </si>
  <si>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反映新設定</t>
    </r>
  </si>
  <si>
    <t xml:space="preserve">X-01</t>
  </si>
  <si>
    <t xml:space="preserve">即時回饋</t>
  </si>
  <si>
    <r>
      <rPr>
        <sz val="10"/>
        <rFont val="Noto Sans CJK SC"/>
        <family val="2"/>
      </rPr>
      <t xml:space="preserve">執行摘要即時更新、無延遲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閃爍</t>
    </r>
  </si>
  <si>
    <t xml:space="preserve">連續改設定</t>
  </si>
  <si>
    <t xml:space="preserve">即時且穩定</t>
  </si>
  <si>
    <t xml:space="preserve">X-02</t>
  </si>
  <si>
    <t xml:space="preserve">提示</t>
  </si>
  <si>
    <r>
      <rPr>
        <sz val="10"/>
        <rFont val="Noto Sans CJK SC"/>
        <family val="2"/>
      </rPr>
      <t xml:space="preserve">警報名稱 </t>
    </r>
    <r>
      <rPr>
        <sz val="10"/>
        <rFont val="Arial"/>
        <family val="0"/>
        <charset val="1"/>
      </rPr>
      <t xml:space="preserve">placeholder </t>
    </r>
    <r>
      <rPr>
        <sz val="10"/>
        <rFont val="Noto Sans CJK SC"/>
        <family val="2"/>
      </rPr>
      <t xml:space="preserve">動態提示</t>
    </r>
  </si>
  <si>
    <t xml:space="preserve">切換設定</t>
  </si>
  <si>
    <t xml:space="preserve">提示同步</t>
  </si>
  <si>
    <t xml:space="preserve">X-03</t>
  </si>
  <si>
    <t xml:space="preserve">鍵盤</t>
  </si>
  <si>
    <r>
      <rPr>
        <sz val="10"/>
        <rFont val="Noto Sans CJK SC"/>
        <family val="2"/>
      </rPr>
      <t xml:space="preserve">自訂 </t>
    </r>
    <r>
      <rPr>
        <sz val="10"/>
        <rFont val="Arial"/>
        <family val="0"/>
        <charset val="1"/>
      </rPr>
      <t xml:space="preserve">Mail:Enter/</t>
    </r>
    <r>
      <rPr>
        <sz val="10"/>
        <rFont val="Noto Sans CJK SC"/>
        <family val="2"/>
      </rPr>
      <t xml:space="preserve">逗號新增、</t>
    </r>
    <r>
      <rPr>
        <sz val="10"/>
        <rFont val="Arial"/>
        <family val="0"/>
        <charset val="1"/>
      </rPr>
      <t xml:space="preserve">Backspace </t>
    </r>
    <r>
      <rPr>
        <sz val="10"/>
        <rFont val="Noto Sans CJK SC"/>
        <family val="2"/>
      </rPr>
      <t xml:space="preserve">刪除、失焦加入</t>
    </r>
  </si>
  <si>
    <t xml:space="preserve">行為正確</t>
  </si>
  <si>
    <t xml:space="preserve">X-04</t>
  </si>
  <si>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預覽可按 </t>
    </r>
    <r>
      <rPr>
        <sz val="10"/>
        <rFont val="Arial"/>
        <family val="0"/>
        <charset val="1"/>
      </rPr>
      <t xml:space="preserve">Esc </t>
    </r>
    <r>
      <rPr>
        <sz val="10"/>
        <rFont val="Noto Sans CJK SC"/>
        <family val="2"/>
      </rPr>
      <t xml:space="preserve">關閉</t>
    </r>
  </si>
  <si>
    <r>
      <rPr>
        <sz val="10"/>
        <rFont val="Arial"/>
        <family val="0"/>
        <charset val="1"/>
      </rPr>
      <t xml:space="preserve">modal </t>
    </r>
    <r>
      <rPr>
        <sz val="10"/>
        <rFont val="Noto Sans CJK SC"/>
        <family val="2"/>
      </rPr>
      <t xml:space="preserve">開</t>
    </r>
  </si>
  <si>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Esc</t>
    </r>
  </si>
  <si>
    <t xml:space="preserve">關閉</t>
  </si>
  <si>
    <t xml:space="preserve">X-05</t>
  </si>
  <si>
    <r>
      <rPr>
        <sz val="10"/>
        <rFont val="Noto Sans CJK SC"/>
        <family val="2"/>
      </rPr>
      <t xml:space="preserve">搜尋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複選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清除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查無結果</t>
    </r>
  </si>
  <si>
    <t xml:space="preserve">操作下拉</t>
  </si>
  <si>
    <t xml:space="preserve">功能與「查無結果」正確</t>
  </si>
  <si>
    <t xml:space="preserve">X-06</t>
  </si>
  <si>
    <t xml:space="preserve">響應式</t>
  </si>
  <si>
    <r>
      <rPr>
        <sz val="10"/>
        <rFont val="Noto Sans CJK SC"/>
        <family val="2"/>
      </rPr>
      <t xml:space="preserve">寬度</t>
    </r>
    <r>
      <rPr>
        <sz val="10"/>
        <rFont val="Arial"/>
        <family val="0"/>
        <charset val="1"/>
      </rPr>
      <t xml:space="preserve">&lt;900px </t>
    </r>
    <r>
      <rPr>
        <sz val="10"/>
        <rFont val="Noto Sans CJK SC"/>
        <family val="2"/>
      </rPr>
      <t xml:space="preserve">轉單欄、不溢出</t>
    </r>
  </si>
  <si>
    <t xml:space="preserve">縮窄視窗</t>
  </si>
  <si>
    <t xml:space="preserve">單欄、複選框不溢出</t>
  </si>
  <si>
    <t xml:space="preserve">X-07</t>
  </si>
  <si>
    <t xml:space="preserve">視覺</t>
  </si>
  <si>
    <r>
      <rPr>
        <sz val="10"/>
        <rFont val="Noto Sans CJK SC"/>
        <family val="2"/>
      </rPr>
      <t xml:space="preserve">暗色主題文字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輸入對比足夠</t>
    </r>
  </si>
  <si>
    <t xml:space="preserve">檢視可讀性</t>
  </si>
  <si>
    <t xml:space="preserve">對比達標</t>
  </si>
  <si>
    <t xml:space="preserve">X-08</t>
  </si>
  <si>
    <t xml:space="preserve">防呆</t>
  </si>
  <si>
    <r>
      <rPr>
        <sz val="10"/>
        <rFont val="Noto Sans CJK SC"/>
        <family val="2"/>
      </rPr>
      <t xml:space="preserve">非法 </t>
    </r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即時提示 </t>
    </r>
    <r>
      <rPr>
        <sz val="10"/>
        <rFont val="Arial"/>
        <family val="0"/>
        <charset val="1"/>
      </rPr>
      <t xml:space="preserve">(Demo </t>
    </r>
    <r>
      <rPr>
        <sz val="10"/>
        <rFont val="Noto Sans CJK SC"/>
        <family val="2"/>
      </rPr>
      <t xml:space="preserve">未做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需補</t>
    </r>
    <r>
      <rPr>
        <sz val="10"/>
        <rFont val="Arial"/>
        <family val="0"/>
        <charset val="1"/>
      </rPr>
      <t xml:space="preserve">)</t>
    </r>
  </si>
  <si>
    <t xml:space="preserve">輸入非法值</t>
  </si>
  <si>
    <r>
      <rPr>
        <sz val="10"/>
        <rFont val="Noto Sans CJK SC"/>
        <family val="2"/>
      </rPr>
      <t xml:space="preserve">阻擋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提示</t>
    </r>
  </si>
  <si>
    <t xml:space="preserve">X-09</t>
  </si>
  <si>
    <r>
      <rPr>
        <sz val="10"/>
        <rFont val="Noto Sans CJK SC"/>
        <family val="2"/>
      </rPr>
      <t xml:space="preserve">未選船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未填收件人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未選星期送出阻擋</t>
    </r>
  </si>
  <si>
    <r>
      <rPr>
        <sz val="10"/>
        <rFont val="Noto Sans CJK SC"/>
        <family val="2"/>
      </rPr>
      <t xml:space="preserve">缺項按 </t>
    </r>
    <r>
      <rPr>
        <sz val="10"/>
        <rFont val="Arial"/>
        <family val="0"/>
        <charset val="1"/>
      </rPr>
      <t xml:space="preserve">Confirm</t>
    </r>
  </si>
  <si>
    <t xml:space="preserve">阻擋並明確提示</t>
  </si>
  <si>
    <t xml:space="preserve">X-10</t>
  </si>
  <si>
    <t xml:space="preserve">回饋</t>
  </si>
  <si>
    <r>
      <rPr>
        <sz val="10"/>
        <rFont val="Noto Sans CJK SC"/>
        <family val="2"/>
      </rPr>
      <t xml:space="preserve">儲存載入狀態回饋 </t>
    </r>
    <r>
      <rPr>
        <sz val="10"/>
        <rFont val="Arial"/>
        <family val="0"/>
        <charset val="1"/>
      </rPr>
      <t xml:space="preserve">(loading/</t>
    </r>
    <r>
      <rPr>
        <sz val="10"/>
        <rFont val="Noto Sans CJK SC"/>
        <family val="2"/>
      </rPr>
      <t xml:space="preserve">成功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失敗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</si>
  <si>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建立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儲存</t>
    </r>
  </si>
  <si>
    <t xml:space="preserve">有明確狀態回饋</t>
  </si>
  <si>
    <t xml:space="preserve">X-11</t>
  </si>
  <si>
    <t xml:space="preserve">表單未存離開提示</t>
  </si>
  <si>
    <t xml:space="preserve">已修改未存</t>
  </si>
  <si>
    <t xml:space="preserve">離開頁面</t>
  </si>
  <si>
    <t xml:space="preserve">提示是否放棄</t>
  </si>
  <si>
    <t xml:space="preserve">N-01</t>
  </si>
  <si>
    <r>
      <rPr>
        <sz val="10"/>
        <rFont val="Arial"/>
        <family val="0"/>
        <charset val="1"/>
      </rPr>
      <t xml:space="preserve">Chrome/Edge/Firefox/Safari </t>
    </r>
    <r>
      <rPr>
        <sz val="10"/>
        <rFont val="Noto Sans CJK SC"/>
        <family val="2"/>
      </rPr>
      <t xml:space="preserve">主流版本</t>
    </r>
  </si>
  <si>
    <t xml:space="preserve">各瀏覽器走查</t>
  </si>
  <si>
    <t xml:space="preserve">行為一致</t>
  </si>
  <si>
    <t xml:space="preserve">N-02</t>
  </si>
  <si>
    <r>
      <rPr>
        <sz val="10"/>
        <rFont val="Arial"/>
        <family val="0"/>
        <charset val="1"/>
      </rPr>
      <t xml:space="preserve">CDN (jQuery/Select2) </t>
    </r>
    <r>
      <rPr>
        <sz val="10"/>
        <rFont val="Noto Sans CJK SC"/>
        <family val="2"/>
      </rPr>
      <t xml:space="preserve">載入失敗降級</t>
    </r>
  </si>
  <si>
    <r>
      <rPr>
        <sz val="10"/>
        <rFont val="Noto Sans CJK SC"/>
        <family val="2"/>
      </rPr>
      <t xml:space="preserve">阻擋 </t>
    </r>
    <r>
      <rPr>
        <sz val="10"/>
        <rFont val="Arial"/>
        <family val="0"/>
        <charset val="1"/>
      </rPr>
      <t xml:space="preserve">CDN</t>
    </r>
  </si>
  <si>
    <t xml:space="preserve">降級或明確錯誤、不白頁</t>
  </si>
  <si>
    <t xml:space="preserve">N-03</t>
  </si>
  <si>
    <r>
      <rPr>
        <sz val="10"/>
        <rFont val="Noto Sans CJK SC"/>
        <family val="2"/>
      </rPr>
      <t xml:space="preserve">大量船舶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使用者下拉渲染流暢</t>
    </r>
  </si>
  <si>
    <t xml:space="preserve">大資料</t>
  </si>
  <si>
    <t xml:space="preserve">開啟複選</t>
  </si>
  <si>
    <t xml:space="preserve">渲染與搜尋流暢</t>
  </si>
  <si>
    <t xml:space="preserve">N-04</t>
  </si>
  <si>
    <t xml:space="preserve">排程引擎多警報吞吐與延遲</t>
  </si>
  <si>
    <t xml:space="preserve">壓測</t>
  </si>
  <si>
    <t xml:space="preserve">負載注入</t>
  </si>
  <si>
    <r>
      <rPr>
        <sz val="10"/>
        <rFont val="Noto Sans CJK SC"/>
        <family val="2"/>
      </rPr>
      <t xml:space="preserve">達吞吐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延遲 </t>
    </r>
    <r>
      <rPr>
        <sz val="10"/>
        <rFont val="Arial"/>
        <family val="0"/>
        <charset val="1"/>
      </rPr>
      <t xml:space="preserve">SLA</t>
    </r>
  </si>
  <si>
    <t xml:space="preserve">N-05</t>
  </si>
  <si>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批量寄送速率</t>
    </r>
  </si>
  <si>
    <t xml:space="preserve">大量收件人</t>
  </si>
  <si>
    <t xml:space="preserve">批量寄送</t>
  </si>
  <si>
    <t xml:space="preserve">在限速內完成</t>
  </si>
  <si>
    <t xml:space="preserve">N-06</t>
  </si>
  <si>
    <r>
      <rPr>
        <sz val="10"/>
        <rFont val="Noto Sans CJK SC"/>
        <family val="2"/>
      </rPr>
      <t xml:space="preserve">認證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授權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客戶版不可存取內部欄位</t>
    </r>
    <r>
      <rPr>
        <sz val="10"/>
        <rFont val="Arial"/>
        <family val="0"/>
        <charset val="1"/>
      </rPr>
      <t xml:space="preserve">/API</t>
    </r>
  </si>
  <si>
    <t xml:space="preserve">越權嘗試</t>
  </si>
  <si>
    <t xml:space="preserve">一律拒絕</t>
  </si>
  <si>
    <t xml:space="preserve">N-07</t>
  </si>
  <si>
    <r>
      <rPr>
        <sz val="10"/>
        <rFont val="Noto Sans CJK SC"/>
        <family val="2"/>
      </rPr>
      <t xml:space="preserve">解除通報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不可預測且防濫用</t>
    </r>
  </si>
  <si>
    <r>
      <rPr>
        <sz val="10"/>
        <rFont val="Noto Sans CJK SC"/>
        <family val="2"/>
      </rPr>
      <t xml:space="preserve">猜測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重放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</si>
  <si>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無效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限流</t>
    </r>
  </si>
  <si>
    <t xml:space="preserve">N-08</t>
  </si>
  <si>
    <r>
      <rPr>
        <sz val="10"/>
        <rFont val="Noto Sans CJK SC"/>
        <family val="2"/>
      </rPr>
      <t xml:space="preserve">傳輸加密 </t>
    </r>
    <r>
      <rPr>
        <sz val="10"/>
        <rFont val="Arial"/>
        <family val="0"/>
        <charset val="1"/>
      </rPr>
      <t xml:space="preserve">(HTTPS/TLS)</t>
    </r>
  </si>
  <si>
    <t xml:space="preserve">檢視連線</t>
  </si>
  <si>
    <t xml:space="preserve">全程加密</t>
  </si>
  <si>
    <t xml:space="preserve">N-09</t>
  </si>
  <si>
    <t xml:space="preserve">排程錯過補償機制</t>
  </si>
  <si>
    <t xml:space="preserve">模擬停機</t>
  </si>
  <si>
    <t xml:space="preserve">依策略補償</t>
  </si>
  <si>
    <t xml:space="preserve">N-10</t>
  </si>
  <si>
    <t xml:space="preserve">資料源故障降級與告警</t>
  </si>
  <si>
    <t xml:space="preserve">源失效</t>
  </si>
  <si>
    <r>
      <rPr>
        <sz val="10"/>
        <rFont val="Noto Sans CJK SC"/>
        <family val="2"/>
      </rPr>
      <t xml:space="preserve">降級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告警</t>
    </r>
  </si>
  <si>
    <t xml:space="preserve">N-11</t>
  </si>
  <si>
    <t xml:space="preserve">寄送重試與稽核紀錄</t>
  </si>
  <si>
    <t xml:space="preserve">寄送失敗</t>
  </si>
  <si>
    <t xml:space="preserve">重試且可稽核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</si>
</sst>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b val="true"/>
      <sz val="12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E2B5"/>
        <bgColor rgb="FFFFF2CC"/>
      </patternFill>
    </fill>
    <fill>
      <patternFill patternType="solid">
        <fgColor rgb="FFFFC7CE"/>
        <bgColor rgb="FFFFE2B5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2B5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2B5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7" min="3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3"/>
      <c r="D6" s="3"/>
      <c r="E6" s="3"/>
      <c r="F6" s="3"/>
      <c r="G6" s="3"/>
    </row>
    <row r="7" customFormat="false" ht="27.75" hidden="false" customHeight="true" outlineLevel="0" collapsed="false">
      <c r="B7" s="4" t="s">
        <v>4</v>
      </c>
      <c r="C7" s="4"/>
      <c r="D7" s="4"/>
      <c r="E7" s="4"/>
      <c r="F7" s="4"/>
      <c r="G7" s="4"/>
    </row>
    <row r="8" customFormat="false" ht="27.75" hidden="false" customHeight="true" outlineLevel="0" collapsed="false">
      <c r="B8" s="4" t="s">
        <v>5</v>
      </c>
      <c r="C8" s="4"/>
      <c r="D8" s="4"/>
      <c r="E8" s="4"/>
      <c r="F8" s="4"/>
      <c r="G8" s="4"/>
    </row>
    <row r="9" customFormat="false" ht="27.75" hidden="false" customHeight="true" outlineLevel="0" collapsed="false">
      <c r="B9" s="4" t="s">
        <v>6</v>
      </c>
      <c r="C9" s="4"/>
      <c r="D9" s="4"/>
      <c r="E9" s="4"/>
      <c r="F9" s="4"/>
      <c r="G9" s="4"/>
    </row>
    <row r="10" customFormat="false" ht="27.75" hidden="false" customHeight="true" outlineLevel="0" collapsed="false">
      <c r="B10" s="4" t="s">
        <v>7</v>
      </c>
      <c r="C10" s="4"/>
      <c r="D10" s="4"/>
      <c r="E10" s="4"/>
      <c r="F10" s="4"/>
      <c r="G10" s="4"/>
    </row>
    <row r="11" customFormat="false" ht="27.75" hidden="false" customHeight="true" outlineLevel="0" collapsed="false">
      <c r="B11" s="4" t="s">
        <v>8</v>
      </c>
      <c r="C11" s="4"/>
      <c r="D11" s="4"/>
      <c r="E11" s="4"/>
      <c r="F11" s="4"/>
      <c r="G11" s="4"/>
    </row>
    <row r="13" customFormat="false" ht="19.4" hidden="false" customHeight="false" outlineLevel="0" collapsed="false">
      <c r="B13" s="3" t="s">
        <v>9</v>
      </c>
      <c r="C13" s="3"/>
      <c r="D13" s="3"/>
      <c r="E13" s="3"/>
      <c r="F13" s="3"/>
      <c r="G13" s="3"/>
    </row>
    <row r="14" customFormat="false" ht="15" hidden="false" customHeight="false" outlineLevel="0" collapsed="false">
      <c r="B14" s="5" t="s">
        <v>10</v>
      </c>
      <c r="C14" s="5" t="s">
        <v>11</v>
      </c>
      <c r="D14" s="6" t="s">
        <v>12</v>
      </c>
      <c r="E14" s="6" t="s">
        <v>13</v>
      </c>
      <c r="F14" s="6" t="s">
        <v>14</v>
      </c>
      <c r="G14" s="5" t="s">
        <v>15</v>
      </c>
    </row>
    <row r="15" customFormat="false" ht="15" hidden="false" customHeight="false" outlineLevel="0" collapsed="false">
      <c r="B15" s="7" t="s">
        <v>16</v>
      </c>
      <c r="C15" s="8" t="n">
        <f aca="false">COUNTA('FE-單元測試'!A2:A21)</f>
        <v>20</v>
      </c>
      <c r="D15" s="8" t="n">
        <f aca="false">COUNTIF('FE-單元測試'!I2:I21,"Pass")</f>
        <v>0</v>
      </c>
      <c r="E15" s="8" t="n">
        <f aca="false">COUNTIF('FE-單元測試'!I2:I21,"Fail")</f>
        <v>0</v>
      </c>
      <c r="F15" s="8" t="n">
        <f aca="false">COUNTIF('FE-單元測試'!I2:I21,"Blocked")</f>
        <v>0</v>
      </c>
      <c r="G15" s="9" t="n">
        <f aca="false">IF(C15=0,0,D15/C15)</f>
        <v>0</v>
      </c>
    </row>
    <row r="16" customFormat="false" ht="15" hidden="false" customHeight="false" outlineLevel="0" collapsed="false">
      <c r="B16" s="7" t="s">
        <v>17</v>
      </c>
      <c r="C16" s="8" t="n">
        <f aca="false">COUNTA('FE-整合連動'!A2:A15)</f>
        <v>14</v>
      </c>
      <c r="D16" s="8" t="n">
        <f aca="false">COUNTIF('FE-整合連動'!I2:I15,"Pass")</f>
        <v>0</v>
      </c>
      <c r="E16" s="8" t="n">
        <f aca="false">COUNTIF('FE-整合連動'!I2:I15,"Fail")</f>
        <v>0</v>
      </c>
      <c r="F16" s="8" t="n">
        <f aca="false">COUNTIF('FE-整合連動'!I2:I15,"Blocked")</f>
        <v>0</v>
      </c>
      <c r="G16" s="9" t="n">
        <f aca="false">IF(C16=0,0,D16/C16)</f>
        <v>0</v>
      </c>
    </row>
    <row r="17" customFormat="false" ht="15" hidden="false" customHeight="false" outlineLevel="0" collapsed="false">
      <c r="B17" s="7" t="s">
        <v>18</v>
      </c>
      <c r="C17" s="8" t="n">
        <f aca="false">COUNTA('BE-單元與API'!A2:A17)</f>
        <v>16</v>
      </c>
      <c r="D17" s="8" t="n">
        <f aca="false">COUNTIF('BE-單元與API'!I2:I17,"Pass")</f>
        <v>0</v>
      </c>
      <c r="E17" s="8" t="n">
        <f aca="false">COUNTIF('BE-單元與API'!I2:I17,"Fail")</f>
        <v>0</v>
      </c>
      <c r="F17" s="8" t="n">
        <f aca="false">COUNTIF('BE-單元與API'!I2:I17,"Blocked")</f>
        <v>0</v>
      </c>
      <c r="G17" s="9" t="n">
        <f aca="false">IF(C17=0,0,D17/C17)</f>
        <v>0</v>
      </c>
    </row>
    <row r="18" customFormat="false" ht="15" hidden="false" customHeight="false" outlineLevel="0" collapsed="false">
      <c r="B18" s="7" t="s">
        <v>19</v>
      </c>
      <c r="C18" s="8" t="n">
        <f aca="false">COUNTA('BE-排程偵測引擎'!A2:A24)</f>
        <v>23</v>
      </c>
      <c r="D18" s="8" t="n">
        <f aca="false">COUNTIF('BE-排程偵測引擎'!I2:I24,"Pass")</f>
        <v>0</v>
      </c>
      <c r="E18" s="8" t="n">
        <f aca="false">COUNTIF('BE-排程偵測引擎'!I2:I24,"Fail")</f>
        <v>0</v>
      </c>
      <c r="F18" s="8" t="n">
        <f aca="false">COUNTIF('BE-排程偵測引擎'!I2:I24,"Blocked")</f>
        <v>0</v>
      </c>
      <c r="G18" s="9" t="n">
        <f aca="false">IF(C18=0,0,D18/C18)</f>
        <v>0</v>
      </c>
    </row>
    <row r="19" customFormat="false" ht="15" hidden="false" customHeight="false" outlineLevel="0" collapsed="false">
      <c r="B19" s="7" t="s">
        <v>20</v>
      </c>
      <c r="C19" s="8" t="n">
        <f aca="false">COUNTA('BE-資料源接入'!A2:A14)</f>
        <v>13</v>
      </c>
      <c r="D19" s="8" t="n">
        <f aca="false">COUNTIF('BE-資料源接入'!I2:I14,"Pass")</f>
        <v>0</v>
      </c>
      <c r="E19" s="8" t="n">
        <f aca="false">COUNTIF('BE-資料源接入'!I2:I14,"Fail")</f>
        <v>0</v>
      </c>
      <c r="F19" s="8" t="n">
        <f aca="false">COUNTIF('BE-資料源接入'!I2:I14,"Blocked")</f>
        <v>0</v>
      </c>
      <c r="G19" s="9" t="n">
        <f aca="false">IF(C19=0,0,D19/C19)</f>
        <v>0</v>
      </c>
    </row>
    <row r="20" customFormat="false" ht="15" hidden="false" customHeight="false" outlineLevel="0" collapsed="false">
      <c r="B20" s="7" t="s">
        <v>21</v>
      </c>
      <c r="C20" s="8" t="n">
        <f aca="false">COUNTA(Email寄送與模板!A2:A13)</f>
        <v>12</v>
      </c>
      <c r="D20" s="8" t="n">
        <f aca="false">COUNTIF(Email寄送與模板!I2:I13,"Pass")</f>
        <v>0</v>
      </c>
      <c r="E20" s="8" t="n">
        <f aca="false">COUNTIF(Email寄送與模板!I2:I13,"Fail")</f>
        <v>0</v>
      </c>
      <c r="F20" s="8" t="n">
        <f aca="false">COUNTIF(Email寄送與模板!I2:I13,"Blocked")</f>
        <v>0</v>
      </c>
      <c r="G20" s="9" t="n">
        <f aca="false">IF(C20=0,0,D20/C20)</f>
        <v>0</v>
      </c>
    </row>
    <row r="21" customFormat="false" ht="15" hidden="false" customHeight="false" outlineLevel="0" collapsed="false">
      <c r="B21" s="10" t="s">
        <v>22</v>
      </c>
      <c r="C21" s="8" t="n">
        <f aca="false">COUNTA(定期報表內容!A2:A15)</f>
        <v>14</v>
      </c>
      <c r="D21" s="8" t="n">
        <f aca="false">COUNTIF(定期報表內容!I2:I15,"Pass")</f>
        <v>0</v>
      </c>
      <c r="E21" s="8" t="n">
        <f aca="false">COUNTIF(定期報表內容!I2:I15,"Fail")</f>
        <v>0</v>
      </c>
      <c r="F21" s="8" t="n">
        <f aca="false">COUNTIF(定期報表內容!I2:I15,"Blocked")</f>
        <v>0</v>
      </c>
      <c r="G21" s="9" t="n">
        <f aca="false">IF(C21=0,0,D21/C21)</f>
        <v>0</v>
      </c>
    </row>
    <row r="22" customFormat="false" ht="15" hidden="false" customHeight="false" outlineLevel="0" collapsed="false">
      <c r="B22" s="10" t="s">
        <v>23</v>
      </c>
      <c r="C22" s="8" t="n">
        <f aca="false">COUNTA(整合與E2E!A2:A8)</f>
        <v>7</v>
      </c>
      <c r="D22" s="8" t="n">
        <f aca="false">COUNTIF(整合與E2E!I2:I8,"Pass")</f>
        <v>0</v>
      </c>
      <c r="E22" s="8" t="n">
        <f aca="false">COUNTIF(整合與E2E!I2:I8,"Fail")</f>
        <v>0</v>
      </c>
      <c r="F22" s="8" t="n">
        <f aca="false">COUNTIF(整合與E2E!I2:I8,"Blocked")</f>
        <v>0</v>
      </c>
      <c r="G22" s="9" t="n">
        <f aca="false">IF(C22=0,0,D22/C22)</f>
        <v>0</v>
      </c>
    </row>
    <row r="23" customFormat="false" ht="15" hidden="false" customHeight="false" outlineLevel="0" collapsed="false">
      <c r="B23" s="7" t="s">
        <v>24</v>
      </c>
      <c r="C23" s="8" t="n">
        <f aca="false">COUNTA(UX操作測試!A2:A12)</f>
        <v>11</v>
      </c>
      <c r="D23" s="8" t="n">
        <f aca="false">COUNTIF(UX操作測試!I2:I12,"Pass")</f>
        <v>0</v>
      </c>
      <c r="E23" s="8" t="n">
        <f aca="false">COUNTIF(UX操作測試!I2:I12,"Fail")</f>
        <v>0</v>
      </c>
      <c r="F23" s="8" t="n">
        <f aca="false">COUNTIF(UX操作測試!I2:I12,"Blocked")</f>
        <v>0</v>
      </c>
      <c r="G23" s="9" t="n">
        <f aca="false">IF(C23=0,0,D23/C23)</f>
        <v>0</v>
      </c>
    </row>
    <row r="24" customFormat="false" ht="15" hidden="false" customHeight="false" outlineLevel="0" collapsed="false">
      <c r="B24" s="10" t="s">
        <v>25</v>
      </c>
      <c r="C24" s="8" t="n">
        <f aca="false">COUNTA(非功能測試!A2:A12)</f>
        <v>11</v>
      </c>
      <c r="D24" s="8" t="n">
        <f aca="false">COUNTIF(非功能測試!I2:I12,"Pass")</f>
        <v>0</v>
      </c>
      <c r="E24" s="8" t="n">
        <f aca="false">COUNTIF(非功能測試!I2:I12,"Fail")</f>
        <v>0</v>
      </c>
      <c r="F24" s="8" t="n">
        <f aca="false">COUNTIF(非功能測試!I2:I12,"Blocked")</f>
        <v>0</v>
      </c>
      <c r="G24" s="9" t="n">
        <f aca="false">IF(C24=0,0,D24/C24)</f>
        <v>0</v>
      </c>
    </row>
    <row r="25" customFormat="false" ht="15" hidden="false" customHeight="false" outlineLevel="0" collapsed="false">
      <c r="B25" s="11" t="s">
        <v>26</v>
      </c>
      <c r="C25" s="12" t="n">
        <f aca="false">SUM(C15:C24)</f>
        <v>141</v>
      </c>
      <c r="D25" s="12" t="n">
        <f aca="false">SUM(D15:D24)</f>
        <v>0</v>
      </c>
      <c r="E25" s="12" t="n">
        <f aca="false">SUM(E15:E24)</f>
        <v>0</v>
      </c>
      <c r="F25" s="12" t="n">
        <f aca="false">SUM(F15:F24)</f>
        <v>0</v>
      </c>
      <c r="G25" s="13" t="n">
        <f aca="false">IF(C25=0,0,D25/C25)</f>
        <v>0</v>
      </c>
    </row>
  </sheetData>
  <mergeCells count="7">
    <mergeCell ref="B6:G6"/>
    <mergeCell ref="B7:G7"/>
    <mergeCell ref="B8:G8"/>
    <mergeCell ref="B9:G9"/>
    <mergeCell ref="B10:G10"/>
    <mergeCell ref="B11:G11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</row>
    <row r="2" customFormat="false" ht="29.85" hidden="false" customHeight="false" outlineLevel="0" collapsed="false">
      <c r="A2" s="15" t="s">
        <v>34</v>
      </c>
      <c r="B2" s="16" t="s">
        <v>35</v>
      </c>
      <c r="C2" s="16" t="s">
        <v>36</v>
      </c>
      <c r="D2" s="16" t="s">
        <v>37</v>
      </c>
      <c r="E2" s="16" t="s">
        <v>38</v>
      </c>
      <c r="F2" s="16" t="s">
        <v>39</v>
      </c>
      <c r="G2" s="17" t="s">
        <v>40</v>
      </c>
    </row>
    <row r="3" customFormat="false" ht="29.85" hidden="false" customHeight="false" outlineLevel="0" collapsed="false">
      <c r="A3" s="18" t="s">
        <v>41</v>
      </c>
      <c r="B3" s="19" t="s">
        <v>42</v>
      </c>
      <c r="C3" s="20" t="s">
        <v>43</v>
      </c>
      <c r="D3" s="19" t="s">
        <v>44</v>
      </c>
      <c r="E3" s="19" t="s">
        <v>45</v>
      </c>
      <c r="F3" s="19" t="s">
        <v>46</v>
      </c>
      <c r="G3" s="19" t="s">
        <v>47</v>
      </c>
    </row>
    <row r="4" customFormat="false" ht="15" hidden="false" customHeight="false" outlineLevel="0" collapsed="false">
      <c r="A4" s="15" t="s">
        <v>48</v>
      </c>
      <c r="B4" s="16" t="s">
        <v>49</v>
      </c>
      <c r="C4" s="17" t="s">
        <v>50</v>
      </c>
      <c r="D4" s="16" t="s">
        <v>51</v>
      </c>
      <c r="E4" s="16" t="s">
        <v>52</v>
      </c>
      <c r="F4" s="16" t="s">
        <v>53</v>
      </c>
      <c r="G4" s="16" t="s">
        <v>54</v>
      </c>
    </row>
    <row r="5" customFormat="false" ht="15" hidden="false" customHeight="false" outlineLevel="0" collapsed="false">
      <c r="A5" s="18" t="s">
        <v>55</v>
      </c>
      <c r="B5" s="19" t="s">
        <v>56</v>
      </c>
      <c r="C5" s="19" t="s">
        <v>57</v>
      </c>
      <c r="D5" s="19" t="s">
        <v>58</v>
      </c>
      <c r="E5" s="19" t="s">
        <v>59</v>
      </c>
      <c r="F5" s="19" t="s">
        <v>60</v>
      </c>
      <c r="G5" s="19" t="s">
        <v>61</v>
      </c>
    </row>
    <row r="6" customFormat="false" ht="15" hidden="false" customHeight="false" outlineLevel="0" collapsed="false">
      <c r="A6" s="15" t="s">
        <v>62</v>
      </c>
      <c r="B6" s="16" t="s">
        <v>63</v>
      </c>
      <c r="C6" s="16" t="s">
        <v>64</v>
      </c>
      <c r="D6" s="16" t="s">
        <v>65</v>
      </c>
      <c r="E6" s="16" t="s">
        <v>66</v>
      </c>
      <c r="F6" s="16" t="s">
        <v>67</v>
      </c>
      <c r="G6" s="16" t="s">
        <v>68</v>
      </c>
    </row>
    <row r="7" customFormat="false" ht="15" hidden="false" customHeight="false" outlineLevel="0" collapsed="false">
      <c r="A7" s="18" t="s">
        <v>69</v>
      </c>
      <c r="B7" s="19" t="s">
        <v>70</v>
      </c>
      <c r="C7" s="20" t="s">
        <v>71</v>
      </c>
      <c r="D7" s="19" t="s">
        <v>72</v>
      </c>
      <c r="E7" s="20" t="s">
        <v>73</v>
      </c>
      <c r="F7" s="19" t="s">
        <v>74</v>
      </c>
      <c r="G7" s="19" t="s">
        <v>68</v>
      </c>
    </row>
    <row r="8" customFormat="false" ht="15" hidden="false" customHeight="false" outlineLevel="0" collapsed="false">
      <c r="A8" s="15" t="s">
        <v>75</v>
      </c>
      <c r="B8" s="16" t="s">
        <v>76</v>
      </c>
      <c r="C8" s="16" t="s">
        <v>77</v>
      </c>
      <c r="D8" s="16" t="s">
        <v>78</v>
      </c>
      <c r="E8" s="17" t="s">
        <v>79</v>
      </c>
      <c r="F8" s="16" t="s">
        <v>80</v>
      </c>
      <c r="G8" s="17" t="s">
        <v>81</v>
      </c>
    </row>
    <row r="9" customFormat="false" ht="15" hidden="false" customHeight="false" outlineLevel="0" collapsed="false">
      <c r="A9" s="18" t="s">
        <v>82</v>
      </c>
      <c r="B9" s="19" t="s">
        <v>83</v>
      </c>
      <c r="C9" s="19" t="s">
        <v>84</v>
      </c>
      <c r="D9" s="19" t="s">
        <v>85</v>
      </c>
      <c r="E9" s="20" t="s">
        <v>86</v>
      </c>
      <c r="F9" s="19" t="s">
        <v>87</v>
      </c>
      <c r="G9" s="20" t="s">
        <v>88</v>
      </c>
    </row>
    <row r="10" customFormat="false" ht="15" hidden="false" customHeight="false" outlineLevel="0" collapsed="false">
      <c r="A10" s="15" t="s">
        <v>89</v>
      </c>
      <c r="B10" s="16" t="s">
        <v>90</v>
      </c>
      <c r="C10" s="16" t="s">
        <v>91</v>
      </c>
      <c r="D10" s="16" t="s">
        <v>92</v>
      </c>
      <c r="E10" s="16" t="s">
        <v>93</v>
      </c>
      <c r="F10" s="16" t="s">
        <v>94</v>
      </c>
      <c r="G10" s="17" t="s">
        <v>95</v>
      </c>
    </row>
    <row r="11" customFormat="false" ht="15" hidden="false" customHeight="false" outlineLevel="0" collapsed="false">
      <c r="A11" s="18" t="s">
        <v>96</v>
      </c>
      <c r="B11" s="19" t="s">
        <v>97</v>
      </c>
      <c r="C11" s="19" t="s">
        <v>98</v>
      </c>
      <c r="D11" s="19" t="s">
        <v>99</v>
      </c>
      <c r="E11" s="19" t="s">
        <v>100</v>
      </c>
      <c r="F11" s="19" t="s">
        <v>101</v>
      </c>
      <c r="G11" s="20" t="s">
        <v>102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  <c r="K1" s="14" t="s">
        <v>113</v>
      </c>
    </row>
    <row r="2" customFormat="false" ht="29.85" hidden="false" customHeight="false" outlineLevel="0" collapsed="false">
      <c r="A2" s="21" t="s">
        <v>114</v>
      </c>
      <c r="B2" s="22" t="s">
        <v>115</v>
      </c>
      <c r="C2" s="22" t="s">
        <v>116</v>
      </c>
      <c r="D2" s="23" t="s">
        <v>117</v>
      </c>
      <c r="E2" s="22" t="s">
        <v>118</v>
      </c>
      <c r="F2" s="22" t="s">
        <v>117</v>
      </c>
      <c r="G2" s="22" t="s">
        <v>119</v>
      </c>
      <c r="H2" s="24" t="s">
        <v>120</v>
      </c>
      <c r="I2" s="23" t="s">
        <v>121</v>
      </c>
      <c r="J2" s="22"/>
      <c r="K2" s="22"/>
    </row>
    <row r="3" customFormat="false" ht="29.85" hidden="false" customHeight="false" outlineLevel="0" collapsed="false">
      <c r="A3" s="21" t="s">
        <v>122</v>
      </c>
      <c r="B3" s="22" t="s">
        <v>123</v>
      </c>
      <c r="C3" s="22" t="s">
        <v>124</v>
      </c>
      <c r="D3" s="23" t="s">
        <v>117</v>
      </c>
      <c r="E3" s="22" t="s">
        <v>125</v>
      </c>
      <c r="F3" s="22" t="s">
        <v>126</v>
      </c>
      <c r="G3" s="22" t="s">
        <v>127</v>
      </c>
      <c r="H3" s="25" t="s">
        <v>128</v>
      </c>
      <c r="I3" s="23" t="s">
        <v>121</v>
      </c>
      <c r="J3" s="22"/>
      <c r="K3" s="22"/>
    </row>
    <row r="4" customFormat="false" ht="15" hidden="false" customHeight="false" outlineLevel="0" collapsed="false">
      <c r="A4" s="21" t="s">
        <v>129</v>
      </c>
      <c r="B4" s="22" t="s">
        <v>123</v>
      </c>
      <c r="C4" s="26" t="s">
        <v>130</v>
      </c>
      <c r="D4" s="23" t="s">
        <v>117</v>
      </c>
      <c r="E4" s="22" t="s">
        <v>131</v>
      </c>
      <c r="F4" s="22" t="s">
        <v>126</v>
      </c>
      <c r="G4" s="22" t="s">
        <v>132</v>
      </c>
      <c r="H4" s="24" t="s">
        <v>120</v>
      </c>
      <c r="I4" s="23" t="s">
        <v>121</v>
      </c>
      <c r="J4" s="26"/>
      <c r="K4" s="26"/>
    </row>
    <row r="5" customFormat="false" ht="15" hidden="false" customHeight="false" outlineLevel="0" collapsed="false">
      <c r="A5" s="21" t="s">
        <v>133</v>
      </c>
      <c r="B5" s="22" t="s">
        <v>134</v>
      </c>
      <c r="C5" s="26" t="s">
        <v>135</v>
      </c>
      <c r="D5" s="23" t="s">
        <v>117</v>
      </c>
      <c r="E5" s="22" t="s">
        <v>136</v>
      </c>
      <c r="F5" s="22" t="s">
        <v>137</v>
      </c>
      <c r="G5" s="26" t="s">
        <v>138</v>
      </c>
      <c r="H5" s="24" t="s">
        <v>120</v>
      </c>
      <c r="I5" s="23" t="s">
        <v>121</v>
      </c>
      <c r="J5" s="26"/>
      <c r="K5" s="26"/>
    </row>
    <row r="6" customFormat="false" ht="15" hidden="false" customHeight="false" outlineLevel="0" collapsed="false">
      <c r="A6" s="21" t="s">
        <v>139</v>
      </c>
      <c r="B6" s="22" t="s">
        <v>134</v>
      </c>
      <c r="C6" s="26" t="s">
        <v>140</v>
      </c>
      <c r="D6" s="23" t="s">
        <v>117</v>
      </c>
      <c r="E6" s="22" t="s">
        <v>141</v>
      </c>
      <c r="F6" s="22" t="s">
        <v>142</v>
      </c>
      <c r="G6" s="26" t="s">
        <v>143</v>
      </c>
      <c r="H6" s="24" t="s">
        <v>120</v>
      </c>
      <c r="I6" s="23" t="s">
        <v>121</v>
      </c>
      <c r="J6" s="26"/>
      <c r="K6" s="26"/>
    </row>
    <row r="7" customFormat="false" ht="15" hidden="false" customHeight="false" outlineLevel="0" collapsed="false">
      <c r="A7" s="21" t="s">
        <v>144</v>
      </c>
      <c r="B7" s="22" t="s">
        <v>145</v>
      </c>
      <c r="C7" s="26" t="s">
        <v>146</v>
      </c>
      <c r="D7" s="23" t="s">
        <v>117</v>
      </c>
      <c r="E7" s="26" t="s">
        <v>147</v>
      </c>
      <c r="F7" s="22" t="s">
        <v>148</v>
      </c>
      <c r="G7" s="22" t="s">
        <v>149</v>
      </c>
      <c r="H7" s="27" t="s">
        <v>150</v>
      </c>
      <c r="I7" s="23" t="s">
        <v>121</v>
      </c>
      <c r="J7" s="26"/>
      <c r="K7" s="26"/>
    </row>
    <row r="8" customFormat="false" ht="15" hidden="false" customHeight="false" outlineLevel="0" collapsed="false">
      <c r="A8" s="21" t="s">
        <v>151</v>
      </c>
      <c r="B8" s="22" t="s">
        <v>145</v>
      </c>
      <c r="C8" s="22" t="s">
        <v>152</v>
      </c>
      <c r="D8" s="23" t="s">
        <v>153</v>
      </c>
      <c r="E8" s="26" t="s">
        <v>147</v>
      </c>
      <c r="F8" s="22" t="s">
        <v>154</v>
      </c>
      <c r="G8" s="22" t="s">
        <v>155</v>
      </c>
      <c r="H8" s="27" t="s">
        <v>150</v>
      </c>
      <c r="I8" s="23" t="s">
        <v>121</v>
      </c>
      <c r="J8" s="26"/>
      <c r="K8" s="26"/>
    </row>
    <row r="9" customFormat="false" ht="15" hidden="false" customHeight="false" outlineLevel="0" collapsed="false">
      <c r="A9" s="21" t="s">
        <v>156</v>
      </c>
      <c r="B9" s="22" t="s">
        <v>145</v>
      </c>
      <c r="C9" s="22" t="s">
        <v>157</v>
      </c>
      <c r="D9" s="23" t="s">
        <v>153</v>
      </c>
      <c r="E9" s="22" t="s">
        <v>158</v>
      </c>
      <c r="F9" s="22" t="s">
        <v>159</v>
      </c>
      <c r="G9" s="22" t="s">
        <v>160</v>
      </c>
      <c r="H9" s="27" t="s">
        <v>150</v>
      </c>
      <c r="I9" s="23" t="s">
        <v>121</v>
      </c>
      <c r="J9" s="26"/>
      <c r="K9" s="26"/>
    </row>
    <row r="10" customFormat="false" ht="15" hidden="false" customHeight="false" outlineLevel="0" collapsed="false">
      <c r="A10" s="21" t="s">
        <v>161</v>
      </c>
      <c r="B10" s="22" t="s">
        <v>145</v>
      </c>
      <c r="C10" s="26" t="s">
        <v>162</v>
      </c>
      <c r="D10" s="23" t="s">
        <v>117</v>
      </c>
      <c r="E10" s="26" t="s">
        <v>147</v>
      </c>
      <c r="F10" s="22" t="s">
        <v>163</v>
      </c>
      <c r="G10" s="22" t="s">
        <v>164</v>
      </c>
      <c r="H10" s="27" t="s">
        <v>150</v>
      </c>
      <c r="I10" s="23" t="s">
        <v>121</v>
      </c>
      <c r="J10" s="26"/>
      <c r="K10" s="26"/>
    </row>
    <row r="11" customFormat="false" ht="29.85" hidden="false" customHeight="false" outlineLevel="0" collapsed="false">
      <c r="A11" s="21" t="s">
        <v>165</v>
      </c>
      <c r="B11" s="22" t="s">
        <v>145</v>
      </c>
      <c r="C11" s="26" t="s">
        <v>166</v>
      </c>
      <c r="D11" s="23" t="s">
        <v>167</v>
      </c>
      <c r="E11" s="26" t="s">
        <v>147</v>
      </c>
      <c r="F11" s="22" t="s">
        <v>168</v>
      </c>
      <c r="G11" s="22" t="s">
        <v>169</v>
      </c>
      <c r="H11" s="27" t="s">
        <v>150</v>
      </c>
      <c r="I11" s="23" t="s">
        <v>121</v>
      </c>
      <c r="J11" s="26"/>
      <c r="K11" s="26"/>
    </row>
    <row r="12" customFormat="false" ht="15" hidden="false" customHeight="false" outlineLevel="0" collapsed="false">
      <c r="A12" s="21" t="s">
        <v>170</v>
      </c>
      <c r="B12" s="22" t="s">
        <v>145</v>
      </c>
      <c r="C12" s="26" t="s">
        <v>171</v>
      </c>
      <c r="D12" s="23" t="s">
        <v>167</v>
      </c>
      <c r="E12" s="26" t="s">
        <v>147</v>
      </c>
      <c r="F12" s="22" t="s">
        <v>172</v>
      </c>
      <c r="G12" s="22" t="s">
        <v>173</v>
      </c>
      <c r="H12" s="27" t="s">
        <v>150</v>
      </c>
      <c r="I12" s="23" t="s">
        <v>121</v>
      </c>
      <c r="J12" s="26"/>
      <c r="K12" s="26"/>
    </row>
    <row r="13" customFormat="false" ht="29.85" hidden="false" customHeight="false" outlineLevel="0" collapsed="false">
      <c r="A13" s="21" t="s">
        <v>174</v>
      </c>
      <c r="B13" s="22" t="s">
        <v>175</v>
      </c>
      <c r="C13" s="26" t="s">
        <v>176</v>
      </c>
      <c r="D13" s="23" t="s">
        <v>117</v>
      </c>
      <c r="E13" s="26" t="s">
        <v>147</v>
      </c>
      <c r="F13" s="22" t="s">
        <v>177</v>
      </c>
      <c r="G13" s="22" t="s">
        <v>178</v>
      </c>
      <c r="H13" s="24" t="s">
        <v>120</v>
      </c>
      <c r="I13" s="23" t="s">
        <v>121</v>
      </c>
      <c r="J13" s="26"/>
      <c r="K13" s="26"/>
    </row>
    <row r="14" customFormat="false" ht="29.85" hidden="false" customHeight="false" outlineLevel="0" collapsed="false">
      <c r="A14" s="21" t="s">
        <v>179</v>
      </c>
      <c r="B14" s="26" t="s">
        <v>180</v>
      </c>
      <c r="C14" s="26" t="s">
        <v>181</v>
      </c>
      <c r="D14" s="23" t="s">
        <v>153</v>
      </c>
      <c r="E14" s="22" t="s">
        <v>182</v>
      </c>
      <c r="F14" s="22" t="s">
        <v>183</v>
      </c>
      <c r="G14" s="22" t="s">
        <v>184</v>
      </c>
      <c r="H14" s="27" t="s">
        <v>150</v>
      </c>
      <c r="I14" s="23" t="s">
        <v>121</v>
      </c>
      <c r="J14" s="26"/>
      <c r="K14" s="26"/>
    </row>
    <row r="15" customFormat="false" ht="15" hidden="false" customHeight="false" outlineLevel="0" collapsed="false">
      <c r="A15" s="21" t="s">
        <v>185</v>
      </c>
      <c r="B15" s="26" t="s">
        <v>180</v>
      </c>
      <c r="C15" s="26" t="s">
        <v>186</v>
      </c>
      <c r="D15" s="23" t="s">
        <v>117</v>
      </c>
      <c r="E15" s="22" t="s">
        <v>187</v>
      </c>
      <c r="F15" s="22" t="s">
        <v>188</v>
      </c>
      <c r="G15" s="22" t="s">
        <v>189</v>
      </c>
      <c r="H15" s="27" t="s">
        <v>150</v>
      </c>
      <c r="I15" s="23" t="s">
        <v>121</v>
      </c>
      <c r="J15" s="26"/>
      <c r="K15" s="26"/>
    </row>
    <row r="16" customFormat="false" ht="29.85" hidden="false" customHeight="false" outlineLevel="0" collapsed="false">
      <c r="A16" s="21" t="s">
        <v>190</v>
      </c>
      <c r="B16" s="22" t="s">
        <v>191</v>
      </c>
      <c r="C16" s="26" t="s">
        <v>192</v>
      </c>
      <c r="D16" s="23" t="s">
        <v>191</v>
      </c>
      <c r="E16" s="22" t="s">
        <v>182</v>
      </c>
      <c r="F16" s="22" t="s">
        <v>193</v>
      </c>
      <c r="G16" s="22" t="s">
        <v>194</v>
      </c>
      <c r="H16" s="25" t="s">
        <v>128</v>
      </c>
      <c r="I16" s="23" t="s">
        <v>121</v>
      </c>
      <c r="J16" s="26"/>
      <c r="K16" s="26"/>
    </row>
    <row r="17" customFormat="false" ht="15" hidden="false" customHeight="false" outlineLevel="0" collapsed="false">
      <c r="A17" s="21" t="s">
        <v>195</v>
      </c>
      <c r="B17" s="22" t="s">
        <v>196</v>
      </c>
      <c r="C17" s="26" t="s">
        <v>197</v>
      </c>
      <c r="D17" s="23" t="s">
        <v>117</v>
      </c>
      <c r="E17" s="26" t="s">
        <v>147</v>
      </c>
      <c r="F17" s="22" t="s">
        <v>198</v>
      </c>
      <c r="G17" s="22" t="s">
        <v>199</v>
      </c>
      <c r="H17" s="28" t="s">
        <v>200</v>
      </c>
      <c r="I17" s="23" t="s">
        <v>121</v>
      </c>
      <c r="J17" s="26"/>
      <c r="K17" s="26"/>
    </row>
    <row r="18" customFormat="false" ht="15" hidden="false" customHeight="false" outlineLevel="0" collapsed="false">
      <c r="A18" s="21" t="s">
        <v>201</v>
      </c>
      <c r="B18" s="22" t="s">
        <v>202</v>
      </c>
      <c r="C18" s="26" t="s">
        <v>203</v>
      </c>
      <c r="D18" s="23" t="s">
        <v>117</v>
      </c>
      <c r="E18" s="26" t="s">
        <v>147</v>
      </c>
      <c r="F18" s="22" t="s">
        <v>204</v>
      </c>
      <c r="G18" s="26" t="s">
        <v>205</v>
      </c>
      <c r="H18" s="27" t="s">
        <v>150</v>
      </c>
      <c r="I18" s="23" t="s">
        <v>121</v>
      </c>
      <c r="J18" s="26"/>
      <c r="K18" s="26"/>
    </row>
    <row r="19" customFormat="false" ht="15" hidden="false" customHeight="false" outlineLevel="0" collapsed="false">
      <c r="A19" s="21" t="s">
        <v>206</v>
      </c>
      <c r="B19" s="22" t="s">
        <v>196</v>
      </c>
      <c r="C19" s="22" t="s">
        <v>207</v>
      </c>
      <c r="D19" s="23" t="s">
        <v>117</v>
      </c>
      <c r="E19" s="26" t="s">
        <v>147</v>
      </c>
      <c r="F19" s="22" t="s">
        <v>208</v>
      </c>
      <c r="G19" s="26" t="s">
        <v>209</v>
      </c>
      <c r="H19" s="28" t="s">
        <v>200</v>
      </c>
      <c r="I19" s="23" t="s">
        <v>121</v>
      </c>
      <c r="J19" s="26"/>
      <c r="K19" s="26"/>
    </row>
    <row r="20" customFormat="false" ht="15" hidden="false" customHeight="false" outlineLevel="0" collapsed="false">
      <c r="A20" s="21" t="s">
        <v>210</v>
      </c>
      <c r="B20" s="26" t="s">
        <v>211</v>
      </c>
      <c r="C20" s="26" t="s">
        <v>212</v>
      </c>
      <c r="D20" s="23" t="s">
        <v>117</v>
      </c>
      <c r="E20" s="26" t="s">
        <v>147</v>
      </c>
      <c r="F20" s="22" t="s">
        <v>213</v>
      </c>
      <c r="G20" s="22" t="s">
        <v>214</v>
      </c>
      <c r="H20" s="24" t="s">
        <v>120</v>
      </c>
      <c r="I20" s="23" t="s">
        <v>121</v>
      </c>
      <c r="J20" s="26"/>
      <c r="K20" s="26"/>
    </row>
    <row r="21" customFormat="false" ht="15" hidden="false" customHeight="false" outlineLevel="0" collapsed="false">
      <c r="A21" s="21" t="s">
        <v>215</v>
      </c>
      <c r="B21" s="26" t="s">
        <v>211</v>
      </c>
      <c r="C21" s="22" t="s">
        <v>216</v>
      </c>
      <c r="D21" s="23" t="s">
        <v>117</v>
      </c>
      <c r="E21" s="26" t="s">
        <v>217</v>
      </c>
      <c r="F21" s="22" t="s">
        <v>218</v>
      </c>
      <c r="G21" s="22" t="s">
        <v>219</v>
      </c>
      <c r="H21" s="24" t="s">
        <v>120</v>
      </c>
      <c r="I21" s="23" t="s">
        <v>121</v>
      </c>
      <c r="J21" s="26"/>
      <c r="K21" s="26"/>
    </row>
  </sheetData>
  <autoFilter ref="A1:K21"/>
  <dataValidations count="1">
    <dataValidation allowBlank="true" errorStyle="stop" operator="between" showDropDown="false" showErrorMessage="false" showInputMessage="false" sqref="I2:I21" type="list">
      <formula1>"未測,Pass,Fail,Blocked,N/A"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  <c r="K1" s="14" t="s">
        <v>113</v>
      </c>
    </row>
    <row r="2" customFormat="false" ht="15" hidden="false" customHeight="false" outlineLevel="0" collapsed="false">
      <c r="A2" s="21" t="s">
        <v>220</v>
      </c>
      <c r="B2" s="22" t="s">
        <v>221</v>
      </c>
      <c r="C2" s="22" t="s">
        <v>222</v>
      </c>
      <c r="D2" s="23" t="s">
        <v>117</v>
      </c>
      <c r="E2" s="22" t="s">
        <v>223</v>
      </c>
      <c r="F2" s="22" t="s">
        <v>224</v>
      </c>
      <c r="G2" s="22" t="s">
        <v>225</v>
      </c>
      <c r="H2" s="25" t="s">
        <v>128</v>
      </c>
      <c r="I2" s="23" t="s">
        <v>121</v>
      </c>
      <c r="J2" s="26"/>
      <c r="K2" s="26"/>
    </row>
    <row r="3" customFormat="false" ht="15" hidden="false" customHeight="false" outlineLevel="0" collapsed="false">
      <c r="A3" s="21" t="s">
        <v>226</v>
      </c>
      <c r="B3" s="22" t="s">
        <v>221</v>
      </c>
      <c r="C3" s="22" t="s">
        <v>227</v>
      </c>
      <c r="D3" s="23" t="s">
        <v>117</v>
      </c>
      <c r="E3" s="22" t="s">
        <v>228</v>
      </c>
      <c r="F3" s="22" t="s">
        <v>229</v>
      </c>
      <c r="G3" s="22" t="s">
        <v>230</v>
      </c>
      <c r="H3" s="27" t="s">
        <v>150</v>
      </c>
      <c r="I3" s="23" t="s">
        <v>121</v>
      </c>
      <c r="J3" s="26"/>
      <c r="K3" s="26"/>
    </row>
    <row r="4" customFormat="false" ht="15" hidden="false" customHeight="false" outlineLevel="0" collapsed="false">
      <c r="A4" s="21" t="s">
        <v>231</v>
      </c>
      <c r="B4" s="22" t="s">
        <v>232</v>
      </c>
      <c r="C4" s="22" t="s">
        <v>233</v>
      </c>
      <c r="D4" s="23" t="s">
        <v>117</v>
      </c>
      <c r="E4" s="26" t="s">
        <v>147</v>
      </c>
      <c r="F4" s="22" t="s">
        <v>234</v>
      </c>
      <c r="G4" s="22" t="s">
        <v>235</v>
      </c>
      <c r="H4" s="24" t="s">
        <v>120</v>
      </c>
      <c r="I4" s="23" t="s">
        <v>121</v>
      </c>
      <c r="J4" s="26"/>
      <c r="K4" s="26"/>
    </row>
    <row r="5" customFormat="false" ht="15" hidden="false" customHeight="false" outlineLevel="0" collapsed="false">
      <c r="A5" s="21" t="s">
        <v>236</v>
      </c>
      <c r="B5" s="22" t="s">
        <v>237</v>
      </c>
      <c r="C5" s="22" t="s">
        <v>238</v>
      </c>
      <c r="D5" s="23" t="s">
        <v>117</v>
      </c>
      <c r="E5" s="22" t="s">
        <v>239</v>
      </c>
      <c r="F5" s="22" t="s">
        <v>240</v>
      </c>
      <c r="G5" s="22" t="s">
        <v>241</v>
      </c>
      <c r="H5" s="24" t="s">
        <v>120</v>
      </c>
      <c r="I5" s="23" t="s">
        <v>121</v>
      </c>
      <c r="J5" s="26"/>
      <c r="K5" s="26"/>
    </row>
    <row r="6" customFormat="false" ht="15" hidden="false" customHeight="false" outlineLevel="0" collapsed="false">
      <c r="A6" s="21" t="s">
        <v>242</v>
      </c>
      <c r="B6" s="22" t="s">
        <v>237</v>
      </c>
      <c r="C6" s="22" t="s">
        <v>243</v>
      </c>
      <c r="D6" s="23" t="s">
        <v>117</v>
      </c>
      <c r="E6" s="22" t="s">
        <v>244</v>
      </c>
      <c r="F6" s="22" t="s">
        <v>245</v>
      </c>
      <c r="G6" s="22" t="s">
        <v>246</v>
      </c>
      <c r="H6" s="27" t="s">
        <v>150</v>
      </c>
      <c r="I6" s="23" t="s">
        <v>121</v>
      </c>
      <c r="J6" s="26"/>
      <c r="K6" s="26"/>
    </row>
    <row r="7" customFormat="false" ht="15" hidden="false" customHeight="false" outlineLevel="0" collapsed="false">
      <c r="A7" s="21" t="s">
        <v>247</v>
      </c>
      <c r="B7" s="22" t="s">
        <v>248</v>
      </c>
      <c r="C7" s="26" t="s">
        <v>249</v>
      </c>
      <c r="D7" s="23" t="s">
        <v>117</v>
      </c>
      <c r="E7" s="26" t="s">
        <v>147</v>
      </c>
      <c r="F7" s="22" t="s">
        <v>250</v>
      </c>
      <c r="G7" s="22" t="s">
        <v>251</v>
      </c>
      <c r="H7" s="24" t="s">
        <v>120</v>
      </c>
      <c r="I7" s="23" t="s">
        <v>121</v>
      </c>
      <c r="J7" s="26"/>
      <c r="K7" s="26"/>
    </row>
    <row r="8" customFormat="false" ht="15" hidden="false" customHeight="false" outlineLevel="0" collapsed="false">
      <c r="A8" s="21" t="s">
        <v>252</v>
      </c>
      <c r="B8" s="22" t="s">
        <v>248</v>
      </c>
      <c r="C8" s="22" t="s">
        <v>253</v>
      </c>
      <c r="D8" s="23" t="s">
        <v>117</v>
      </c>
      <c r="E8" s="22" t="s">
        <v>158</v>
      </c>
      <c r="F8" s="22" t="s">
        <v>254</v>
      </c>
      <c r="G8" s="22" t="s">
        <v>255</v>
      </c>
      <c r="H8" s="27" t="s">
        <v>150</v>
      </c>
      <c r="I8" s="23" t="s">
        <v>121</v>
      </c>
      <c r="J8" s="26"/>
      <c r="K8" s="26"/>
    </row>
    <row r="9" customFormat="false" ht="15" hidden="false" customHeight="false" outlineLevel="0" collapsed="false">
      <c r="A9" s="21" t="s">
        <v>256</v>
      </c>
      <c r="B9" s="22" t="s">
        <v>257</v>
      </c>
      <c r="C9" s="26" t="s">
        <v>249</v>
      </c>
      <c r="D9" s="23" t="s">
        <v>117</v>
      </c>
      <c r="E9" s="26" t="s">
        <v>147</v>
      </c>
      <c r="F9" s="22" t="s">
        <v>258</v>
      </c>
      <c r="G9" s="22" t="s">
        <v>259</v>
      </c>
      <c r="H9" s="24" t="s">
        <v>120</v>
      </c>
      <c r="I9" s="23" t="s">
        <v>121</v>
      </c>
      <c r="J9" s="26"/>
      <c r="K9" s="26"/>
    </row>
    <row r="10" customFormat="false" ht="15" hidden="false" customHeight="false" outlineLevel="0" collapsed="false">
      <c r="A10" s="21" t="s">
        <v>260</v>
      </c>
      <c r="B10" s="22" t="s">
        <v>261</v>
      </c>
      <c r="C10" s="22" t="s">
        <v>262</v>
      </c>
      <c r="D10" s="23" t="s">
        <v>117</v>
      </c>
      <c r="E10" s="26" t="s">
        <v>147</v>
      </c>
      <c r="F10" s="22" t="s">
        <v>263</v>
      </c>
      <c r="G10" s="22" t="s">
        <v>264</v>
      </c>
      <c r="H10" s="24" t="s">
        <v>120</v>
      </c>
      <c r="I10" s="23" t="s">
        <v>121</v>
      </c>
      <c r="J10" s="26"/>
      <c r="K10" s="26"/>
    </row>
    <row r="11" customFormat="false" ht="15" hidden="false" customHeight="false" outlineLevel="0" collapsed="false">
      <c r="A11" s="21" t="s">
        <v>265</v>
      </c>
      <c r="B11" s="26" t="s">
        <v>266</v>
      </c>
      <c r="C11" s="26" t="s">
        <v>267</v>
      </c>
      <c r="D11" s="23" t="s">
        <v>117</v>
      </c>
      <c r="E11" s="26" t="s">
        <v>147</v>
      </c>
      <c r="F11" s="22" t="s">
        <v>268</v>
      </c>
      <c r="G11" s="22" t="s">
        <v>269</v>
      </c>
      <c r="H11" s="27" t="s">
        <v>150</v>
      </c>
      <c r="I11" s="23" t="s">
        <v>121</v>
      </c>
      <c r="J11" s="26"/>
      <c r="K11" s="26"/>
    </row>
    <row r="12" customFormat="false" ht="15" hidden="false" customHeight="false" outlineLevel="0" collapsed="false">
      <c r="A12" s="21" t="s">
        <v>270</v>
      </c>
      <c r="B12" s="26" t="s">
        <v>271</v>
      </c>
      <c r="C12" s="22" t="s">
        <v>272</v>
      </c>
      <c r="D12" s="23" t="s">
        <v>117</v>
      </c>
      <c r="E12" s="22" t="s">
        <v>273</v>
      </c>
      <c r="F12" s="22" t="s">
        <v>274</v>
      </c>
      <c r="G12" s="22" t="s">
        <v>275</v>
      </c>
      <c r="H12" s="24" t="s">
        <v>120</v>
      </c>
      <c r="I12" s="23" t="s">
        <v>121</v>
      </c>
      <c r="J12" s="26"/>
      <c r="K12" s="26"/>
    </row>
    <row r="13" customFormat="false" ht="15" hidden="false" customHeight="false" outlineLevel="0" collapsed="false">
      <c r="A13" s="21" t="s">
        <v>276</v>
      </c>
      <c r="B13" s="26" t="s">
        <v>271</v>
      </c>
      <c r="C13" s="26" t="s">
        <v>277</v>
      </c>
      <c r="D13" s="23" t="s">
        <v>117</v>
      </c>
      <c r="E13" s="26" t="s">
        <v>278</v>
      </c>
      <c r="F13" s="22" t="s">
        <v>279</v>
      </c>
      <c r="G13" s="22" t="s">
        <v>280</v>
      </c>
      <c r="H13" s="27" t="s">
        <v>150</v>
      </c>
      <c r="I13" s="23" t="s">
        <v>121</v>
      </c>
      <c r="J13" s="26"/>
      <c r="K13" s="26"/>
    </row>
    <row r="14" customFormat="false" ht="15" hidden="false" customHeight="false" outlineLevel="0" collapsed="false">
      <c r="A14" s="21" t="s">
        <v>281</v>
      </c>
      <c r="B14" s="22" t="s">
        <v>282</v>
      </c>
      <c r="C14" s="22" t="s">
        <v>283</v>
      </c>
      <c r="D14" s="23" t="s">
        <v>117</v>
      </c>
      <c r="E14" s="26" t="s">
        <v>147</v>
      </c>
      <c r="F14" s="22" t="s">
        <v>284</v>
      </c>
      <c r="G14" s="22" t="s">
        <v>285</v>
      </c>
      <c r="H14" s="24" t="s">
        <v>120</v>
      </c>
      <c r="I14" s="23" t="s">
        <v>121</v>
      </c>
      <c r="J14" s="26"/>
      <c r="K14" s="26"/>
    </row>
    <row r="15" customFormat="false" ht="15" hidden="false" customHeight="false" outlineLevel="0" collapsed="false">
      <c r="A15" s="21" t="s">
        <v>286</v>
      </c>
      <c r="B15" s="22" t="s">
        <v>287</v>
      </c>
      <c r="C15" s="22" t="s">
        <v>288</v>
      </c>
      <c r="D15" s="23" t="s">
        <v>117</v>
      </c>
      <c r="E15" s="26" t="s">
        <v>147</v>
      </c>
      <c r="F15" s="22" t="s">
        <v>289</v>
      </c>
      <c r="G15" s="22" t="s">
        <v>290</v>
      </c>
      <c r="H15" s="28" t="s">
        <v>200</v>
      </c>
      <c r="I15" s="23" t="s">
        <v>121</v>
      </c>
      <c r="J15" s="26"/>
      <c r="K15" s="26"/>
    </row>
  </sheetData>
  <autoFilter ref="A1:K15"/>
  <dataValidations count="1">
    <dataValidation allowBlank="true" errorStyle="stop" operator="between" showDropDown="false" showErrorMessage="false" showInputMessage="false" sqref="I2:I15" type="list">
      <formula1>"未測,Pass,Fail,Blocked,N/A"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  <c r="K1" s="14" t="s">
        <v>113</v>
      </c>
    </row>
    <row r="2" customFormat="false" ht="26.85" hidden="false" customHeight="false" outlineLevel="0" collapsed="false">
      <c r="A2" s="21" t="s">
        <v>291</v>
      </c>
      <c r="B2" s="22" t="s">
        <v>292</v>
      </c>
      <c r="C2" s="26" t="s">
        <v>293</v>
      </c>
      <c r="D2" s="23" t="s">
        <v>294</v>
      </c>
      <c r="E2" s="26" t="s">
        <v>147</v>
      </c>
      <c r="F2" s="22" t="s">
        <v>295</v>
      </c>
      <c r="G2" s="22" t="s">
        <v>296</v>
      </c>
      <c r="H2" s="25" t="s">
        <v>128</v>
      </c>
      <c r="I2" s="23" t="s">
        <v>121</v>
      </c>
      <c r="J2" s="26"/>
      <c r="K2" s="26"/>
    </row>
    <row r="3" customFormat="false" ht="15" hidden="false" customHeight="false" outlineLevel="0" collapsed="false">
      <c r="A3" s="21" t="s">
        <v>297</v>
      </c>
      <c r="B3" s="22" t="s">
        <v>292</v>
      </c>
      <c r="C3" s="22" t="s">
        <v>298</v>
      </c>
      <c r="D3" s="23" t="s">
        <v>153</v>
      </c>
      <c r="E3" s="26" t="s">
        <v>147</v>
      </c>
      <c r="F3" s="22" t="s">
        <v>299</v>
      </c>
      <c r="G3" s="22" t="s">
        <v>300</v>
      </c>
      <c r="H3" s="25" t="s">
        <v>128</v>
      </c>
      <c r="I3" s="23" t="s">
        <v>121</v>
      </c>
      <c r="J3" s="26"/>
      <c r="K3" s="26"/>
    </row>
    <row r="4" customFormat="false" ht="15" hidden="false" customHeight="false" outlineLevel="0" collapsed="false">
      <c r="A4" s="21" t="s">
        <v>301</v>
      </c>
      <c r="B4" s="22" t="s">
        <v>292</v>
      </c>
      <c r="C4" s="26" t="s">
        <v>302</v>
      </c>
      <c r="D4" s="23" t="s">
        <v>294</v>
      </c>
      <c r="E4" s="26" t="s">
        <v>147</v>
      </c>
      <c r="F4" s="22" t="s">
        <v>303</v>
      </c>
      <c r="G4" s="22" t="s">
        <v>304</v>
      </c>
      <c r="H4" s="24" t="s">
        <v>120</v>
      </c>
      <c r="I4" s="23" t="s">
        <v>121</v>
      </c>
      <c r="J4" s="26"/>
      <c r="K4" s="26"/>
    </row>
    <row r="5" customFormat="false" ht="15" hidden="false" customHeight="false" outlineLevel="0" collapsed="false">
      <c r="A5" s="21" t="s">
        <v>305</v>
      </c>
      <c r="B5" s="22" t="s">
        <v>292</v>
      </c>
      <c r="C5" s="26" t="s">
        <v>306</v>
      </c>
      <c r="D5" s="23" t="s">
        <v>294</v>
      </c>
      <c r="E5" s="26" t="s">
        <v>147</v>
      </c>
      <c r="F5" s="22" t="s">
        <v>307</v>
      </c>
      <c r="G5" s="22" t="s">
        <v>304</v>
      </c>
      <c r="H5" s="24" t="s">
        <v>120</v>
      </c>
      <c r="I5" s="23" t="s">
        <v>121</v>
      </c>
      <c r="J5" s="26"/>
      <c r="K5" s="26"/>
    </row>
    <row r="6" customFormat="false" ht="15" hidden="false" customHeight="false" outlineLevel="0" collapsed="false">
      <c r="A6" s="21" t="s">
        <v>308</v>
      </c>
      <c r="B6" s="22" t="s">
        <v>292</v>
      </c>
      <c r="C6" s="22" t="s">
        <v>309</v>
      </c>
      <c r="D6" s="23" t="s">
        <v>153</v>
      </c>
      <c r="E6" s="26" t="s">
        <v>147</v>
      </c>
      <c r="F6" s="22" t="s">
        <v>310</v>
      </c>
      <c r="G6" s="22" t="s">
        <v>311</v>
      </c>
      <c r="H6" s="24" t="s">
        <v>120</v>
      </c>
      <c r="I6" s="23" t="s">
        <v>121</v>
      </c>
      <c r="J6" s="26"/>
      <c r="K6" s="26"/>
    </row>
    <row r="7" customFormat="false" ht="29.85" hidden="false" customHeight="false" outlineLevel="0" collapsed="false">
      <c r="A7" s="21" t="s">
        <v>312</v>
      </c>
      <c r="B7" s="22" t="s">
        <v>313</v>
      </c>
      <c r="C7" s="22" t="s">
        <v>314</v>
      </c>
      <c r="D7" s="23" t="s">
        <v>191</v>
      </c>
      <c r="E7" s="22" t="s">
        <v>315</v>
      </c>
      <c r="F7" s="22" t="s">
        <v>316</v>
      </c>
      <c r="G7" s="22" t="s">
        <v>317</v>
      </c>
      <c r="H7" s="24" t="s">
        <v>120</v>
      </c>
      <c r="I7" s="23" t="s">
        <v>121</v>
      </c>
      <c r="J7" s="26"/>
      <c r="K7" s="26"/>
    </row>
    <row r="8" customFormat="false" ht="15" hidden="false" customHeight="false" outlineLevel="0" collapsed="false">
      <c r="A8" s="21" t="s">
        <v>318</v>
      </c>
      <c r="B8" s="22" t="s">
        <v>319</v>
      </c>
      <c r="C8" s="22" t="s">
        <v>320</v>
      </c>
      <c r="D8" s="23" t="s">
        <v>191</v>
      </c>
      <c r="E8" s="26" t="s">
        <v>147</v>
      </c>
      <c r="F8" s="22" t="s">
        <v>321</v>
      </c>
      <c r="G8" s="22" t="s">
        <v>322</v>
      </c>
      <c r="H8" s="25" t="s">
        <v>128</v>
      </c>
      <c r="I8" s="23" t="s">
        <v>121</v>
      </c>
      <c r="J8" s="26"/>
      <c r="K8" s="26"/>
    </row>
    <row r="9" customFormat="false" ht="15" hidden="false" customHeight="false" outlineLevel="0" collapsed="false">
      <c r="A9" s="21" t="s">
        <v>323</v>
      </c>
      <c r="B9" s="22" t="s">
        <v>292</v>
      </c>
      <c r="C9" s="22" t="s">
        <v>324</v>
      </c>
      <c r="D9" s="23" t="s">
        <v>117</v>
      </c>
      <c r="E9" s="26" t="s">
        <v>147</v>
      </c>
      <c r="F9" s="22" t="s">
        <v>325</v>
      </c>
      <c r="G9" s="26" t="s">
        <v>326</v>
      </c>
      <c r="H9" s="27" t="s">
        <v>150</v>
      </c>
      <c r="I9" s="23" t="s">
        <v>121</v>
      </c>
      <c r="J9" s="26"/>
      <c r="K9" s="26"/>
    </row>
    <row r="10" customFormat="false" ht="15" hidden="false" customHeight="false" outlineLevel="0" collapsed="false">
      <c r="A10" s="21" t="s">
        <v>327</v>
      </c>
      <c r="B10" s="26" t="s">
        <v>328</v>
      </c>
      <c r="C10" s="22" t="s">
        <v>329</v>
      </c>
      <c r="D10" s="23" t="s">
        <v>117</v>
      </c>
      <c r="E10" s="22" t="s">
        <v>330</v>
      </c>
      <c r="F10" s="22" t="s">
        <v>331</v>
      </c>
      <c r="G10" s="22" t="s">
        <v>332</v>
      </c>
      <c r="H10" s="24" t="s">
        <v>120</v>
      </c>
      <c r="I10" s="23" t="s">
        <v>121</v>
      </c>
      <c r="J10" s="26"/>
      <c r="K10" s="26"/>
    </row>
    <row r="11" customFormat="false" ht="15" hidden="false" customHeight="false" outlineLevel="0" collapsed="false">
      <c r="A11" s="21" t="s">
        <v>333</v>
      </c>
      <c r="B11" s="22" t="s">
        <v>334</v>
      </c>
      <c r="C11" s="22" t="s">
        <v>335</v>
      </c>
      <c r="D11" s="23" t="s">
        <v>117</v>
      </c>
      <c r="E11" s="26" t="s">
        <v>147</v>
      </c>
      <c r="F11" s="22" t="s">
        <v>336</v>
      </c>
      <c r="G11" s="22" t="s">
        <v>337</v>
      </c>
      <c r="H11" s="24" t="s">
        <v>120</v>
      </c>
      <c r="I11" s="23" t="s">
        <v>121</v>
      </c>
      <c r="J11" s="26"/>
      <c r="K11" s="26"/>
    </row>
    <row r="12" customFormat="false" ht="15" hidden="false" customHeight="false" outlineLevel="0" collapsed="false">
      <c r="A12" s="21" t="s">
        <v>338</v>
      </c>
      <c r="B12" s="22" t="s">
        <v>339</v>
      </c>
      <c r="C12" s="26" t="s">
        <v>340</v>
      </c>
      <c r="D12" s="23" t="s">
        <v>117</v>
      </c>
      <c r="E12" s="26" t="s">
        <v>147</v>
      </c>
      <c r="F12" s="22" t="s">
        <v>341</v>
      </c>
      <c r="G12" s="22" t="s">
        <v>342</v>
      </c>
      <c r="H12" s="27" t="s">
        <v>150</v>
      </c>
      <c r="I12" s="23" t="s">
        <v>121</v>
      </c>
      <c r="J12" s="26"/>
      <c r="K12" s="26"/>
    </row>
    <row r="13" customFormat="false" ht="26.85" hidden="false" customHeight="false" outlineLevel="0" collapsed="false">
      <c r="A13" s="21" t="s">
        <v>343</v>
      </c>
      <c r="B13" s="22" t="s">
        <v>344</v>
      </c>
      <c r="C13" s="22" t="s">
        <v>345</v>
      </c>
      <c r="D13" s="23" t="s">
        <v>346</v>
      </c>
      <c r="E13" s="26" t="s">
        <v>147</v>
      </c>
      <c r="F13" s="22" t="s">
        <v>347</v>
      </c>
      <c r="G13" s="22" t="s">
        <v>348</v>
      </c>
      <c r="H13" s="27" t="s">
        <v>150</v>
      </c>
      <c r="I13" s="23" t="s">
        <v>121</v>
      </c>
      <c r="J13" s="26"/>
      <c r="K13" s="26"/>
    </row>
    <row r="14" customFormat="false" ht="15" hidden="false" customHeight="false" outlineLevel="0" collapsed="false">
      <c r="A14" s="21" t="s">
        <v>349</v>
      </c>
      <c r="B14" s="22" t="s">
        <v>191</v>
      </c>
      <c r="C14" s="26" t="s">
        <v>350</v>
      </c>
      <c r="D14" s="23" t="s">
        <v>191</v>
      </c>
      <c r="E14" s="26" t="s">
        <v>147</v>
      </c>
      <c r="F14" s="22" t="s">
        <v>351</v>
      </c>
      <c r="G14" s="22" t="s">
        <v>352</v>
      </c>
      <c r="H14" s="25" t="s">
        <v>128</v>
      </c>
      <c r="I14" s="23" t="s">
        <v>121</v>
      </c>
      <c r="J14" s="26"/>
      <c r="K14" s="26"/>
    </row>
    <row r="15" customFormat="false" ht="15" hidden="false" customHeight="false" outlineLevel="0" collapsed="false">
      <c r="A15" s="21" t="s">
        <v>353</v>
      </c>
      <c r="B15" s="22" t="s">
        <v>354</v>
      </c>
      <c r="C15" s="22" t="s">
        <v>355</v>
      </c>
      <c r="D15" s="23" t="s">
        <v>153</v>
      </c>
      <c r="E15" s="26" t="s">
        <v>147</v>
      </c>
      <c r="F15" s="22" t="s">
        <v>356</v>
      </c>
      <c r="G15" s="22" t="s">
        <v>357</v>
      </c>
      <c r="H15" s="24" t="s">
        <v>120</v>
      </c>
      <c r="I15" s="23" t="s">
        <v>121</v>
      </c>
      <c r="J15" s="26"/>
      <c r="K15" s="26"/>
    </row>
    <row r="16" customFormat="false" ht="15" hidden="false" customHeight="false" outlineLevel="0" collapsed="false">
      <c r="A16" s="21" t="s">
        <v>358</v>
      </c>
      <c r="B16" s="22" t="s">
        <v>359</v>
      </c>
      <c r="C16" s="22" t="s">
        <v>360</v>
      </c>
      <c r="D16" s="23" t="s">
        <v>153</v>
      </c>
      <c r="E16" s="26" t="s">
        <v>147</v>
      </c>
      <c r="F16" s="22" t="s">
        <v>361</v>
      </c>
      <c r="G16" s="22" t="s">
        <v>362</v>
      </c>
      <c r="H16" s="27" t="s">
        <v>150</v>
      </c>
      <c r="I16" s="23" t="s">
        <v>121</v>
      </c>
      <c r="J16" s="26"/>
      <c r="K16" s="26"/>
    </row>
    <row r="17" customFormat="false" ht="15" hidden="false" customHeight="false" outlineLevel="0" collapsed="false">
      <c r="A17" s="21" t="s">
        <v>363</v>
      </c>
      <c r="B17" s="22" t="s">
        <v>364</v>
      </c>
      <c r="C17" s="26" t="s">
        <v>365</v>
      </c>
      <c r="D17" s="23" t="s">
        <v>117</v>
      </c>
      <c r="E17" s="26" t="s">
        <v>147</v>
      </c>
      <c r="F17" s="22" t="s">
        <v>366</v>
      </c>
      <c r="G17" s="22" t="s">
        <v>367</v>
      </c>
      <c r="H17" s="27" t="s">
        <v>150</v>
      </c>
      <c r="I17" s="23" t="s">
        <v>121</v>
      </c>
      <c r="J17" s="26"/>
      <c r="K17" s="26"/>
    </row>
  </sheetData>
  <autoFilter ref="A1:K17"/>
  <dataValidations count="1">
    <dataValidation allowBlank="true" errorStyle="stop" operator="between" showDropDown="false" showErrorMessage="false" showInputMessage="false" sqref="I2:I17" type="list">
      <formula1>"未測,Pass,Fail,Blocked,N/A"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  <c r="K1" s="14" t="s">
        <v>113</v>
      </c>
    </row>
    <row r="2" customFormat="false" ht="15" hidden="false" customHeight="false" outlineLevel="0" collapsed="false">
      <c r="A2" s="21" t="s">
        <v>368</v>
      </c>
      <c r="B2" s="22" t="s">
        <v>369</v>
      </c>
      <c r="C2" s="22" t="s">
        <v>370</v>
      </c>
      <c r="D2" s="23" t="s">
        <v>117</v>
      </c>
      <c r="E2" s="22" t="s">
        <v>371</v>
      </c>
      <c r="F2" s="22" t="s">
        <v>372</v>
      </c>
      <c r="G2" s="22" t="s">
        <v>373</v>
      </c>
      <c r="H2" s="25" t="s">
        <v>128</v>
      </c>
      <c r="I2" s="23" t="s">
        <v>121</v>
      </c>
      <c r="J2" s="26"/>
      <c r="K2" s="26"/>
    </row>
    <row r="3" customFormat="false" ht="15" hidden="false" customHeight="false" outlineLevel="0" collapsed="false">
      <c r="A3" s="21" t="s">
        <v>374</v>
      </c>
      <c r="B3" s="22" t="s">
        <v>375</v>
      </c>
      <c r="C3" s="22" t="s">
        <v>376</v>
      </c>
      <c r="D3" s="23" t="s">
        <v>117</v>
      </c>
      <c r="E3" s="22" t="s">
        <v>377</v>
      </c>
      <c r="F3" s="22" t="s">
        <v>378</v>
      </c>
      <c r="G3" s="22" t="s">
        <v>379</v>
      </c>
      <c r="H3" s="24" t="s">
        <v>120</v>
      </c>
      <c r="I3" s="23" t="s">
        <v>121</v>
      </c>
      <c r="J3" s="26"/>
      <c r="K3" s="26"/>
    </row>
    <row r="4" customFormat="false" ht="15" hidden="false" customHeight="false" outlineLevel="0" collapsed="false">
      <c r="A4" s="21" t="s">
        <v>380</v>
      </c>
      <c r="B4" s="22" t="s">
        <v>381</v>
      </c>
      <c r="C4" s="22" t="s">
        <v>382</v>
      </c>
      <c r="D4" s="23" t="s">
        <v>117</v>
      </c>
      <c r="E4" s="22" t="s">
        <v>383</v>
      </c>
      <c r="F4" s="22" t="s">
        <v>384</v>
      </c>
      <c r="G4" s="22" t="s">
        <v>385</v>
      </c>
      <c r="H4" s="24" t="s">
        <v>120</v>
      </c>
      <c r="I4" s="23" t="s">
        <v>121</v>
      </c>
      <c r="J4" s="26"/>
      <c r="K4" s="26"/>
    </row>
    <row r="5" customFormat="false" ht="15" hidden="false" customHeight="false" outlineLevel="0" collapsed="false">
      <c r="A5" s="21" t="s">
        <v>386</v>
      </c>
      <c r="B5" s="22" t="s">
        <v>387</v>
      </c>
      <c r="C5" s="22" t="s">
        <v>388</v>
      </c>
      <c r="D5" s="23" t="s">
        <v>153</v>
      </c>
      <c r="E5" s="22" t="s">
        <v>389</v>
      </c>
      <c r="F5" s="22" t="s">
        <v>390</v>
      </c>
      <c r="G5" s="22" t="s">
        <v>391</v>
      </c>
      <c r="H5" s="24" t="s">
        <v>120</v>
      </c>
      <c r="I5" s="23" t="s">
        <v>121</v>
      </c>
      <c r="J5" s="26"/>
      <c r="K5" s="26"/>
    </row>
    <row r="6" customFormat="false" ht="15" hidden="false" customHeight="false" outlineLevel="0" collapsed="false">
      <c r="A6" s="21" t="s">
        <v>392</v>
      </c>
      <c r="B6" s="22" t="s">
        <v>393</v>
      </c>
      <c r="C6" s="22" t="s">
        <v>394</v>
      </c>
      <c r="D6" s="23" t="s">
        <v>117</v>
      </c>
      <c r="E6" s="22" t="s">
        <v>395</v>
      </c>
      <c r="F6" s="22" t="s">
        <v>396</v>
      </c>
      <c r="G6" s="22" t="s">
        <v>397</v>
      </c>
      <c r="H6" s="24" t="s">
        <v>120</v>
      </c>
      <c r="I6" s="23" t="s">
        <v>121</v>
      </c>
      <c r="J6" s="26"/>
      <c r="K6" s="26"/>
    </row>
    <row r="7" customFormat="false" ht="15" hidden="false" customHeight="false" outlineLevel="0" collapsed="false">
      <c r="A7" s="21" t="s">
        <v>398</v>
      </c>
      <c r="B7" s="22" t="s">
        <v>399</v>
      </c>
      <c r="C7" s="22" t="s">
        <v>400</v>
      </c>
      <c r="D7" s="23" t="s">
        <v>117</v>
      </c>
      <c r="E7" s="26" t="s">
        <v>401</v>
      </c>
      <c r="F7" s="22" t="s">
        <v>402</v>
      </c>
      <c r="G7" s="22" t="s">
        <v>403</v>
      </c>
      <c r="H7" s="24" t="s">
        <v>120</v>
      </c>
      <c r="I7" s="23" t="s">
        <v>121</v>
      </c>
      <c r="J7" s="26"/>
      <c r="K7" s="26"/>
    </row>
    <row r="8" customFormat="false" ht="15" hidden="false" customHeight="false" outlineLevel="0" collapsed="false">
      <c r="A8" s="21" t="s">
        <v>404</v>
      </c>
      <c r="B8" s="22" t="s">
        <v>405</v>
      </c>
      <c r="C8" s="22" t="s">
        <v>406</v>
      </c>
      <c r="D8" s="23" t="s">
        <v>117</v>
      </c>
      <c r="E8" s="26" t="s">
        <v>407</v>
      </c>
      <c r="F8" s="22" t="s">
        <v>408</v>
      </c>
      <c r="G8" s="22" t="s">
        <v>409</v>
      </c>
      <c r="H8" s="24" t="s">
        <v>120</v>
      </c>
      <c r="I8" s="23" t="s">
        <v>121</v>
      </c>
      <c r="J8" s="26"/>
      <c r="K8" s="26"/>
    </row>
    <row r="9" customFormat="false" ht="15" hidden="false" customHeight="false" outlineLevel="0" collapsed="false">
      <c r="A9" s="21" t="s">
        <v>410</v>
      </c>
      <c r="B9" s="22" t="s">
        <v>411</v>
      </c>
      <c r="C9" s="26" t="s">
        <v>412</v>
      </c>
      <c r="D9" s="23" t="s">
        <v>117</v>
      </c>
      <c r="E9" s="26" t="s">
        <v>413</v>
      </c>
      <c r="F9" s="22" t="s">
        <v>414</v>
      </c>
      <c r="G9" s="22" t="s">
        <v>415</v>
      </c>
      <c r="H9" s="24" t="s">
        <v>120</v>
      </c>
      <c r="I9" s="23" t="s">
        <v>121</v>
      </c>
      <c r="J9" s="26"/>
      <c r="K9" s="26"/>
    </row>
    <row r="10" customFormat="false" ht="29.85" hidden="false" customHeight="false" outlineLevel="0" collapsed="false">
      <c r="A10" s="21" t="s">
        <v>416</v>
      </c>
      <c r="B10" s="22" t="s">
        <v>417</v>
      </c>
      <c r="C10" s="22" t="s">
        <v>418</v>
      </c>
      <c r="D10" s="23" t="s">
        <v>117</v>
      </c>
      <c r="E10" s="26" t="s">
        <v>147</v>
      </c>
      <c r="F10" s="22" t="s">
        <v>419</v>
      </c>
      <c r="G10" s="22" t="s">
        <v>420</v>
      </c>
      <c r="H10" s="24" t="s">
        <v>120</v>
      </c>
      <c r="I10" s="23" t="s">
        <v>121</v>
      </c>
      <c r="J10" s="26"/>
      <c r="K10" s="26"/>
    </row>
    <row r="11" customFormat="false" ht="15" hidden="false" customHeight="false" outlineLevel="0" collapsed="false">
      <c r="A11" s="21" t="s">
        <v>421</v>
      </c>
      <c r="B11" s="22" t="s">
        <v>422</v>
      </c>
      <c r="C11" s="22" t="s">
        <v>423</v>
      </c>
      <c r="D11" s="23" t="s">
        <v>346</v>
      </c>
      <c r="E11" s="22" t="s">
        <v>371</v>
      </c>
      <c r="F11" s="22" t="s">
        <v>424</v>
      </c>
      <c r="G11" s="22" t="s">
        <v>425</v>
      </c>
      <c r="H11" s="25" t="s">
        <v>128</v>
      </c>
      <c r="I11" s="23" t="s">
        <v>121</v>
      </c>
      <c r="J11" s="26"/>
      <c r="K11" s="26"/>
    </row>
    <row r="12" customFormat="false" ht="29.85" hidden="false" customHeight="false" outlineLevel="0" collapsed="false">
      <c r="A12" s="21" t="s">
        <v>426</v>
      </c>
      <c r="B12" s="22" t="s">
        <v>427</v>
      </c>
      <c r="C12" s="22" t="s">
        <v>428</v>
      </c>
      <c r="D12" s="23" t="s">
        <v>117</v>
      </c>
      <c r="E12" s="22" t="s">
        <v>429</v>
      </c>
      <c r="F12" s="22" t="s">
        <v>430</v>
      </c>
      <c r="G12" s="22" t="s">
        <v>431</v>
      </c>
      <c r="H12" s="24" t="s">
        <v>120</v>
      </c>
      <c r="I12" s="23" t="s">
        <v>121</v>
      </c>
      <c r="J12" s="26"/>
      <c r="K12" s="26"/>
    </row>
    <row r="13" customFormat="false" ht="29.85" hidden="false" customHeight="false" outlineLevel="0" collapsed="false">
      <c r="A13" s="21" t="s">
        <v>432</v>
      </c>
      <c r="B13" s="22" t="s">
        <v>433</v>
      </c>
      <c r="C13" s="22" t="s">
        <v>434</v>
      </c>
      <c r="D13" s="23" t="s">
        <v>117</v>
      </c>
      <c r="E13" s="22" t="s">
        <v>435</v>
      </c>
      <c r="F13" s="22" t="s">
        <v>436</v>
      </c>
      <c r="G13" s="22" t="s">
        <v>437</v>
      </c>
      <c r="H13" s="24" t="s">
        <v>120</v>
      </c>
      <c r="I13" s="23" t="s">
        <v>121</v>
      </c>
      <c r="J13" s="26"/>
      <c r="K13" s="26"/>
    </row>
    <row r="14" customFormat="false" ht="15" hidden="false" customHeight="false" outlineLevel="0" collapsed="false">
      <c r="A14" s="21" t="s">
        <v>438</v>
      </c>
      <c r="B14" s="22" t="s">
        <v>439</v>
      </c>
      <c r="C14" s="22" t="s">
        <v>440</v>
      </c>
      <c r="D14" s="23" t="s">
        <v>117</v>
      </c>
      <c r="E14" s="22" t="s">
        <v>441</v>
      </c>
      <c r="F14" s="22" t="s">
        <v>442</v>
      </c>
      <c r="G14" s="22" t="s">
        <v>443</v>
      </c>
      <c r="H14" s="24" t="s">
        <v>120</v>
      </c>
      <c r="I14" s="23" t="s">
        <v>121</v>
      </c>
      <c r="J14" s="26"/>
      <c r="K14" s="26"/>
    </row>
    <row r="15" customFormat="false" ht="29.85" hidden="false" customHeight="false" outlineLevel="0" collapsed="false">
      <c r="A15" s="21" t="s">
        <v>444</v>
      </c>
      <c r="B15" s="22" t="s">
        <v>445</v>
      </c>
      <c r="C15" s="22" t="s">
        <v>446</v>
      </c>
      <c r="D15" s="23" t="s">
        <v>117</v>
      </c>
      <c r="E15" s="22" t="s">
        <v>447</v>
      </c>
      <c r="F15" s="22" t="s">
        <v>448</v>
      </c>
      <c r="G15" s="26" t="s">
        <v>449</v>
      </c>
      <c r="H15" s="25" t="s">
        <v>128</v>
      </c>
      <c r="I15" s="23" t="s">
        <v>121</v>
      </c>
      <c r="J15" s="26"/>
      <c r="K15" s="26"/>
    </row>
    <row r="16" customFormat="false" ht="15" hidden="false" customHeight="false" outlineLevel="0" collapsed="false">
      <c r="A16" s="21" t="s">
        <v>450</v>
      </c>
      <c r="B16" s="22" t="s">
        <v>451</v>
      </c>
      <c r="C16" s="26" t="s">
        <v>452</v>
      </c>
      <c r="D16" s="23" t="s">
        <v>117</v>
      </c>
      <c r="E16" s="26" t="s">
        <v>453</v>
      </c>
      <c r="F16" s="22" t="s">
        <v>454</v>
      </c>
      <c r="G16" s="22" t="s">
        <v>455</v>
      </c>
      <c r="H16" s="25" t="s">
        <v>128</v>
      </c>
      <c r="I16" s="23" t="s">
        <v>121</v>
      </c>
      <c r="J16" s="26"/>
      <c r="K16" s="26"/>
    </row>
    <row r="17" customFormat="false" ht="29.85" hidden="false" customHeight="false" outlineLevel="0" collapsed="false">
      <c r="A17" s="21" t="s">
        <v>456</v>
      </c>
      <c r="B17" s="22" t="s">
        <v>457</v>
      </c>
      <c r="C17" s="22" t="s">
        <v>458</v>
      </c>
      <c r="D17" s="23" t="s">
        <v>117</v>
      </c>
      <c r="E17" s="26" t="s">
        <v>459</v>
      </c>
      <c r="F17" s="22" t="s">
        <v>460</v>
      </c>
      <c r="G17" s="22" t="s">
        <v>461</v>
      </c>
      <c r="H17" s="24" t="s">
        <v>120</v>
      </c>
      <c r="I17" s="23" t="s">
        <v>121</v>
      </c>
      <c r="J17" s="26"/>
      <c r="K17" s="26"/>
    </row>
    <row r="18" customFormat="false" ht="29.85" hidden="false" customHeight="false" outlineLevel="0" collapsed="false">
      <c r="A18" s="21" t="s">
        <v>462</v>
      </c>
      <c r="B18" s="22" t="s">
        <v>463</v>
      </c>
      <c r="C18" s="22" t="s">
        <v>464</v>
      </c>
      <c r="D18" s="23" t="s">
        <v>117</v>
      </c>
      <c r="E18" s="26" t="s">
        <v>465</v>
      </c>
      <c r="F18" s="22" t="s">
        <v>466</v>
      </c>
      <c r="G18" s="22" t="s">
        <v>467</v>
      </c>
      <c r="H18" s="24" t="s">
        <v>120</v>
      </c>
      <c r="I18" s="23" t="s">
        <v>121</v>
      </c>
      <c r="J18" s="26"/>
      <c r="K18" s="26"/>
    </row>
    <row r="19" customFormat="false" ht="29.85" hidden="false" customHeight="false" outlineLevel="0" collapsed="false">
      <c r="A19" s="21" t="s">
        <v>468</v>
      </c>
      <c r="B19" s="22" t="s">
        <v>469</v>
      </c>
      <c r="C19" s="22" t="s">
        <v>470</v>
      </c>
      <c r="D19" s="23" t="s">
        <v>117</v>
      </c>
      <c r="E19" s="26" t="s">
        <v>471</v>
      </c>
      <c r="F19" s="22" t="s">
        <v>472</v>
      </c>
      <c r="G19" s="22" t="s">
        <v>473</v>
      </c>
      <c r="H19" s="24" t="s">
        <v>120</v>
      </c>
      <c r="I19" s="23" t="s">
        <v>121</v>
      </c>
      <c r="J19" s="26"/>
      <c r="K19" s="26"/>
    </row>
    <row r="20" customFormat="false" ht="29.85" hidden="false" customHeight="false" outlineLevel="0" collapsed="false">
      <c r="A20" s="21" t="s">
        <v>474</v>
      </c>
      <c r="B20" s="22" t="s">
        <v>475</v>
      </c>
      <c r="C20" s="22" t="s">
        <v>476</v>
      </c>
      <c r="D20" s="23" t="s">
        <v>167</v>
      </c>
      <c r="E20" s="22" t="s">
        <v>477</v>
      </c>
      <c r="F20" s="22" t="s">
        <v>478</v>
      </c>
      <c r="G20" s="22" t="s">
        <v>479</v>
      </c>
      <c r="H20" s="24" t="s">
        <v>120</v>
      </c>
      <c r="I20" s="23" t="s">
        <v>121</v>
      </c>
      <c r="J20" s="26"/>
      <c r="K20" s="26"/>
    </row>
    <row r="21" customFormat="false" ht="15" hidden="false" customHeight="false" outlineLevel="0" collapsed="false">
      <c r="A21" s="21" t="s">
        <v>480</v>
      </c>
      <c r="B21" s="22" t="s">
        <v>481</v>
      </c>
      <c r="C21" s="26" t="s">
        <v>482</v>
      </c>
      <c r="D21" s="23" t="s">
        <v>294</v>
      </c>
      <c r="E21" s="26" t="s">
        <v>147</v>
      </c>
      <c r="F21" s="22" t="s">
        <v>483</v>
      </c>
      <c r="G21" s="22" t="s">
        <v>484</v>
      </c>
      <c r="H21" s="24" t="s">
        <v>120</v>
      </c>
      <c r="I21" s="23" t="s">
        <v>121</v>
      </c>
      <c r="J21" s="26"/>
      <c r="K21" s="26"/>
    </row>
    <row r="22" customFormat="false" ht="15" hidden="false" customHeight="false" outlineLevel="0" collapsed="false">
      <c r="A22" s="21" t="s">
        <v>485</v>
      </c>
      <c r="B22" s="22" t="s">
        <v>486</v>
      </c>
      <c r="C22" s="26" t="s">
        <v>487</v>
      </c>
      <c r="D22" s="23" t="s">
        <v>117</v>
      </c>
      <c r="E22" s="22" t="s">
        <v>488</v>
      </c>
      <c r="F22" s="22" t="s">
        <v>489</v>
      </c>
      <c r="G22" s="22" t="s">
        <v>490</v>
      </c>
      <c r="H22" s="24" t="s">
        <v>120</v>
      </c>
      <c r="I22" s="23" t="s">
        <v>121</v>
      </c>
      <c r="J22" s="26"/>
      <c r="K22" s="26"/>
    </row>
    <row r="23" customFormat="false" ht="15" hidden="false" customHeight="false" outlineLevel="0" collapsed="false">
      <c r="A23" s="21" t="s">
        <v>491</v>
      </c>
      <c r="B23" s="22" t="s">
        <v>492</v>
      </c>
      <c r="C23" s="22" t="s">
        <v>493</v>
      </c>
      <c r="D23" s="23" t="s">
        <v>294</v>
      </c>
      <c r="E23" s="26" t="s">
        <v>147</v>
      </c>
      <c r="F23" s="22" t="s">
        <v>494</v>
      </c>
      <c r="G23" s="22" t="s">
        <v>495</v>
      </c>
      <c r="H23" s="24" t="s">
        <v>120</v>
      </c>
      <c r="I23" s="23" t="s">
        <v>121</v>
      </c>
      <c r="J23" s="26"/>
      <c r="K23" s="26"/>
    </row>
    <row r="24" customFormat="false" ht="15" hidden="false" customHeight="false" outlineLevel="0" collapsed="false">
      <c r="A24" s="21" t="s">
        <v>496</v>
      </c>
      <c r="B24" s="22" t="s">
        <v>497</v>
      </c>
      <c r="C24" s="22" t="s">
        <v>498</v>
      </c>
      <c r="D24" s="23" t="s">
        <v>497</v>
      </c>
      <c r="E24" s="22" t="s">
        <v>499</v>
      </c>
      <c r="F24" s="22" t="s">
        <v>500</v>
      </c>
      <c r="G24" s="22" t="s">
        <v>501</v>
      </c>
      <c r="H24" s="27" t="s">
        <v>150</v>
      </c>
      <c r="I24" s="23" t="s">
        <v>121</v>
      </c>
      <c r="J24" s="26"/>
      <c r="K24" s="26"/>
    </row>
  </sheetData>
  <autoFilter ref="A1:K24"/>
  <dataValidations count="1">
    <dataValidation allowBlank="true" errorStyle="stop" operator="between" showDropDown="false" showErrorMessage="false" showInputMessage="false" sqref="I2:I24" type="list">
      <formula1>"未測,Pass,Fail,Blocked,N/A"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  <c r="K1" s="14" t="s">
        <v>113</v>
      </c>
    </row>
    <row r="2" customFormat="false" ht="15" hidden="false" customHeight="false" outlineLevel="0" collapsed="false">
      <c r="A2" s="21" t="s">
        <v>502</v>
      </c>
      <c r="B2" s="26" t="s">
        <v>503</v>
      </c>
      <c r="C2" s="22" t="s">
        <v>504</v>
      </c>
      <c r="D2" s="23" t="s">
        <v>117</v>
      </c>
      <c r="E2" s="26" t="s">
        <v>147</v>
      </c>
      <c r="F2" s="22" t="s">
        <v>505</v>
      </c>
      <c r="G2" s="22" t="s">
        <v>506</v>
      </c>
      <c r="H2" s="24" t="s">
        <v>120</v>
      </c>
      <c r="I2" s="23" t="s">
        <v>121</v>
      </c>
      <c r="J2" s="26"/>
      <c r="K2" s="26"/>
    </row>
    <row r="3" customFormat="false" ht="15" hidden="false" customHeight="false" outlineLevel="0" collapsed="false">
      <c r="A3" s="21" t="s">
        <v>507</v>
      </c>
      <c r="B3" s="26" t="s">
        <v>503</v>
      </c>
      <c r="C3" s="22" t="s">
        <v>508</v>
      </c>
      <c r="D3" s="23" t="s">
        <v>294</v>
      </c>
      <c r="E3" s="26" t="s">
        <v>147</v>
      </c>
      <c r="F3" s="22" t="s">
        <v>509</v>
      </c>
      <c r="G3" s="22" t="s">
        <v>510</v>
      </c>
      <c r="H3" s="24" t="s">
        <v>120</v>
      </c>
      <c r="I3" s="23" t="s">
        <v>121</v>
      </c>
      <c r="J3" s="26"/>
      <c r="K3" s="26"/>
    </row>
    <row r="4" customFormat="false" ht="15" hidden="false" customHeight="false" outlineLevel="0" collapsed="false">
      <c r="A4" s="21" t="s">
        <v>511</v>
      </c>
      <c r="B4" s="26" t="s">
        <v>512</v>
      </c>
      <c r="C4" s="22" t="s">
        <v>513</v>
      </c>
      <c r="D4" s="23" t="s">
        <v>117</v>
      </c>
      <c r="E4" s="26" t="s">
        <v>147</v>
      </c>
      <c r="F4" s="22" t="s">
        <v>514</v>
      </c>
      <c r="G4" s="22" t="s">
        <v>515</v>
      </c>
      <c r="H4" s="27" t="s">
        <v>150</v>
      </c>
      <c r="I4" s="23" t="s">
        <v>121</v>
      </c>
      <c r="J4" s="26"/>
      <c r="K4" s="26"/>
    </row>
    <row r="5" customFormat="false" ht="15" hidden="false" customHeight="false" outlineLevel="0" collapsed="false">
      <c r="A5" s="21" t="s">
        <v>516</v>
      </c>
      <c r="B5" s="22" t="s">
        <v>517</v>
      </c>
      <c r="C5" s="26" t="s">
        <v>518</v>
      </c>
      <c r="D5" s="23" t="s">
        <v>117</v>
      </c>
      <c r="E5" s="26" t="s">
        <v>147</v>
      </c>
      <c r="F5" s="22" t="s">
        <v>519</v>
      </c>
      <c r="G5" s="26" t="s">
        <v>520</v>
      </c>
      <c r="H5" s="27" t="s">
        <v>150</v>
      </c>
      <c r="I5" s="23" t="s">
        <v>121</v>
      </c>
      <c r="J5" s="26"/>
      <c r="K5" s="26"/>
    </row>
    <row r="6" customFormat="false" ht="15" hidden="false" customHeight="false" outlineLevel="0" collapsed="false">
      <c r="A6" s="21" t="s">
        <v>521</v>
      </c>
      <c r="B6" s="22" t="s">
        <v>522</v>
      </c>
      <c r="C6" s="26" t="s">
        <v>523</v>
      </c>
      <c r="D6" s="23" t="s">
        <v>117</v>
      </c>
      <c r="E6" s="26" t="s">
        <v>147</v>
      </c>
      <c r="F6" s="22" t="s">
        <v>524</v>
      </c>
      <c r="G6" s="22" t="s">
        <v>525</v>
      </c>
      <c r="H6" s="27" t="s">
        <v>150</v>
      </c>
      <c r="I6" s="23" t="s">
        <v>121</v>
      </c>
      <c r="J6" s="26"/>
      <c r="K6" s="26"/>
    </row>
    <row r="7" customFormat="false" ht="15" hidden="false" customHeight="false" outlineLevel="0" collapsed="false">
      <c r="A7" s="21" t="s">
        <v>526</v>
      </c>
      <c r="B7" s="22" t="s">
        <v>527</v>
      </c>
      <c r="C7" s="26" t="s">
        <v>528</v>
      </c>
      <c r="D7" s="23" t="s">
        <v>117</v>
      </c>
      <c r="E7" s="26" t="s">
        <v>147</v>
      </c>
      <c r="F7" s="22" t="s">
        <v>529</v>
      </c>
      <c r="G7" s="22" t="s">
        <v>530</v>
      </c>
      <c r="H7" s="24" t="s">
        <v>120</v>
      </c>
      <c r="I7" s="23" t="s">
        <v>121</v>
      </c>
      <c r="J7" s="26"/>
      <c r="K7" s="26"/>
    </row>
    <row r="8" customFormat="false" ht="29.85" hidden="false" customHeight="false" outlineLevel="0" collapsed="false">
      <c r="A8" s="21" t="s">
        <v>531</v>
      </c>
      <c r="B8" s="26" t="s">
        <v>532</v>
      </c>
      <c r="C8" s="26" t="s">
        <v>533</v>
      </c>
      <c r="D8" s="23" t="s">
        <v>117</v>
      </c>
      <c r="E8" s="26" t="s">
        <v>147</v>
      </c>
      <c r="F8" s="22" t="s">
        <v>534</v>
      </c>
      <c r="G8" s="26" t="s">
        <v>535</v>
      </c>
      <c r="H8" s="24" t="s">
        <v>120</v>
      </c>
      <c r="I8" s="23" t="s">
        <v>121</v>
      </c>
      <c r="J8" s="26"/>
      <c r="K8" s="26"/>
    </row>
    <row r="9" customFormat="false" ht="15" hidden="false" customHeight="false" outlineLevel="0" collapsed="false">
      <c r="A9" s="21" t="s">
        <v>536</v>
      </c>
      <c r="B9" s="22" t="s">
        <v>537</v>
      </c>
      <c r="C9" s="26" t="s">
        <v>538</v>
      </c>
      <c r="D9" s="23" t="s">
        <v>117</v>
      </c>
      <c r="E9" s="26" t="s">
        <v>147</v>
      </c>
      <c r="F9" s="22" t="s">
        <v>539</v>
      </c>
      <c r="G9" s="22" t="s">
        <v>540</v>
      </c>
      <c r="H9" s="27" t="s">
        <v>150</v>
      </c>
      <c r="I9" s="23" t="s">
        <v>121</v>
      </c>
      <c r="J9" s="26"/>
      <c r="K9" s="26"/>
    </row>
    <row r="10" customFormat="false" ht="15" hidden="false" customHeight="false" outlineLevel="0" collapsed="false">
      <c r="A10" s="21" t="s">
        <v>541</v>
      </c>
      <c r="B10" s="22" t="s">
        <v>542</v>
      </c>
      <c r="C10" s="26" t="s">
        <v>543</v>
      </c>
      <c r="D10" s="23" t="s">
        <v>117</v>
      </c>
      <c r="E10" s="26" t="s">
        <v>147</v>
      </c>
      <c r="F10" s="22" t="s">
        <v>544</v>
      </c>
      <c r="G10" s="26" t="s">
        <v>545</v>
      </c>
      <c r="H10" s="24" t="s">
        <v>120</v>
      </c>
      <c r="I10" s="23" t="s">
        <v>121</v>
      </c>
      <c r="J10" s="26"/>
      <c r="K10" s="26"/>
    </row>
    <row r="11" customFormat="false" ht="15" hidden="false" customHeight="false" outlineLevel="0" collapsed="false">
      <c r="A11" s="21" t="s">
        <v>546</v>
      </c>
      <c r="B11" s="22" t="s">
        <v>547</v>
      </c>
      <c r="C11" s="26" t="s">
        <v>548</v>
      </c>
      <c r="D11" s="23" t="s">
        <v>117</v>
      </c>
      <c r="E11" s="26" t="s">
        <v>147</v>
      </c>
      <c r="F11" s="22" t="s">
        <v>549</v>
      </c>
      <c r="G11" s="22" t="s">
        <v>550</v>
      </c>
      <c r="H11" s="24" t="s">
        <v>120</v>
      </c>
      <c r="I11" s="23" t="s">
        <v>121</v>
      </c>
      <c r="J11" s="26"/>
      <c r="K11" s="26"/>
    </row>
    <row r="12" customFormat="false" ht="15" hidden="false" customHeight="false" outlineLevel="0" collapsed="false">
      <c r="A12" s="21" t="s">
        <v>551</v>
      </c>
      <c r="B12" s="22" t="s">
        <v>552</v>
      </c>
      <c r="C12" s="22" t="s">
        <v>553</v>
      </c>
      <c r="D12" s="23" t="s">
        <v>294</v>
      </c>
      <c r="E12" s="26" t="s">
        <v>147</v>
      </c>
      <c r="F12" s="22" t="s">
        <v>554</v>
      </c>
      <c r="G12" s="22" t="s">
        <v>555</v>
      </c>
      <c r="H12" s="24" t="s">
        <v>120</v>
      </c>
      <c r="I12" s="23" t="s">
        <v>121</v>
      </c>
      <c r="J12" s="26"/>
      <c r="K12" s="26"/>
    </row>
    <row r="13" customFormat="false" ht="15" hidden="false" customHeight="false" outlineLevel="0" collapsed="false">
      <c r="A13" s="21" t="s">
        <v>556</v>
      </c>
      <c r="B13" s="22" t="s">
        <v>557</v>
      </c>
      <c r="C13" s="22" t="s">
        <v>558</v>
      </c>
      <c r="D13" s="23" t="s">
        <v>153</v>
      </c>
      <c r="E13" s="26" t="s">
        <v>147</v>
      </c>
      <c r="F13" s="22" t="s">
        <v>559</v>
      </c>
      <c r="G13" s="22" t="s">
        <v>560</v>
      </c>
      <c r="H13" s="24" t="s">
        <v>120</v>
      </c>
      <c r="I13" s="23" t="s">
        <v>121</v>
      </c>
      <c r="J13" s="26"/>
      <c r="K13" s="26"/>
    </row>
    <row r="14" customFormat="false" ht="15" hidden="false" customHeight="false" outlineLevel="0" collapsed="false">
      <c r="A14" s="21" t="s">
        <v>561</v>
      </c>
      <c r="B14" s="26" t="s">
        <v>562</v>
      </c>
      <c r="C14" s="22" t="s">
        <v>563</v>
      </c>
      <c r="D14" s="23" t="s">
        <v>191</v>
      </c>
      <c r="E14" s="26" t="s">
        <v>147</v>
      </c>
      <c r="F14" s="22" t="s">
        <v>564</v>
      </c>
      <c r="G14" s="22" t="s">
        <v>565</v>
      </c>
      <c r="H14" s="25" t="s">
        <v>128</v>
      </c>
      <c r="I14" s="23" t="s">
        <v>121</v>
      </c>
      <c r="J14" s="26"/>
      <c r="K14" s="26"/>
    </row>
  </sheetData>
  <autoFilter ref="A1:K14"/>
  <dataValidations count="1">
    <dataValidation allowBlank="true" errorStyle="stop" operator="between" showDropDown="false" showErrorMessage="false" showInputMessage="false" sqref="I2:I14" type="list">
      <formula1>"未測,Pass,Fail,Blocked,N/A"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  <c r="K1" s="14" t="s">
        <v>113</v>
      </c>
    </row>
    <row r="2" customFormat="false" ht="15" hidden="false" customHeight="false" outlineLevel="0" collapsed="false">
      <c r="A2" s="21" t="s">
        <v>566</v>
      </c>
      <c r="B2" s="22" t="s">
        <v>567</v>
      </c>
      <c r="C2" s="22" t="s">
        <v>568</v>
      </c>
      <c r="D2" s="23" t="s">
        <v>117</v>
      </c>
      <c r="E2" s="26" t="s">
        <v>147</v>
      </c>
      <c r="F2" s="22" t="s">
        <v>569</v>
      </c>
      <c r="G2" s="22" t="s">
        <v>570</v>
      </c>
      <c r="H2" s="24" t="s">
        <v>120</v>
      </c>
      <c r="I2" s="23" t="s">
        <v>121</v>
      </c>
      <c r="J2" s="26"/>
      <c r="K2" s="26"/>
    </row>
    <row r="3" customFormat="false" ht="15" hidden="false" customHeight="false" outlineLevel="0" collapsed="false">
      <c r="A3" s="21" t="s">
        <v>571</v>
      </c>
      <c r="B3" s="22" t="s">
        <v>572</v>
      </c>
      <c r="C3" s="22" t="s">
        <v>573</v>
      </c>
      <c r="D3" s="23" t="s">
        <v>117</v>
      </c>
      <c r="E3" s="26" t="s">
        <v>147</v>
      </c>
      <c r="F3" s="22" t="s">
        <v>574</v>
      </c>
      <c r="G3" s="22" t="s">
        <v>575</v>
      </c>
      <c r="H3" s="24" t="s">
        <v>120</v>
      </c>
      <c r="I3" s="23" t="s">
        <v>121</v>
      </c>
      <c r="J3" s="26"/>
      <c r="K3" s="26"/>
    </row>
    <row r="4" customFormat="false" ht="15" hidden="false" customHeight="false" outlineLevel="0" collapsed="false">
      <c r="A4" s="21" t="s">
        <v>576</v>
      </c>
      <c r="B4" s="22" t="s">
        <v>577</v>
      </c>
      <c r="C4" s="26" t="s">
        <v>578</v>
      </c>
      <c r="D4" s="23" t="s">
        <v>577</v>
      </c>
      <c r="E4" s="26" t="s">
        <v>147</v>
      </c>
      <c r="F4" s="22" t="s">
        <v>579</v>
      </c>
      <c r="G4" s="26" t="s">
        <v>580</v>
      </c>
      <c r="H4" s="24" t="s">
        <v>120</v>
      </c>
      <c r="I4" s="23" t="s">
        <v>121</v>
      </c>
      <c r="J4" s="26"/>
      <c r="K4" s="26"/>
    </row>
    <row r="5" customFormat="false" ht="15" hidden="false" customHeight="false" outlineLevel="0" collapsed="false">
      <c r="A5" s="21" t="s">
        <v>581</v>
      </c>
      <c r="B5" s="22" t="s">
        <v>577</v>
      </c>
      <c r="C5" s="26" t="s">
        <v>582</v>
      </c>
      <c r="D5" s="23" t="s">
        <v>577</v>
      </c>
      <c r="E5" s="26" t="s">
        <v>147</v>
      </c>
      <c r="F5" s="22" t="s">
        <v>583</v>
      </c>
      <c r="G5" s="22" t="s">
        <v>584</v>
      </c>
      <c r="H5" s="24" t="s">
        <v>120</v>
      </c>
      <c r="I5" s="23" t="s">
        <v>121</v>
      </c>
      <c r="J5" s="26"/>
      <c r="K5" s="26"/>
    </row>
    <row r="6" customFormat="false" ht="15" hidden="false" customHeight="false" outlineLevel="0" collapsed="false">
      <c r="A6" s="21" t="s">
        <v>585</v>
      </c>
      <c r="B6" s="22" t="s">
        <v>577</v>
      </c>
      <c r="C6" s="26" t="s">
        <v>586</v>
      </c>
      <c r="D6" s="23" t="s">
        <v>577</v>
      </c>
      <c r="E6" s="26" t="s">
        <v>147</v>
      </c>
      <c r="F6" s="22" t="s">
        <v>587</v>
      </c>
      <c r="G6" s="22" t="s">
        <v>584</v>
      </c>
      <c r="H6" s="27" t="s">
        <v>150</v>
      </c>
      <c r="I6" s="23" t="s">
        <v>121</v>
      </c>
      <c r="J6" s="26"/>
      <c r="K6" s="26"/>
    </row>
    <row r="7" customFormat="false" ht="15" hidden="false" customHeight="false" outlineLevel="0" collapsed="false">
      <c r="A7" s="21" t="s">
        <v>588</v>
      </c>
      <c r="B7" s="22" t="s">
        <v>589</v>
      </c>
      <c r="C7" s="22" t="s">
        <v>590</v>
      </c>
      <c r="D7" s="23" t="s">
        <v>117</v>
      </c>
      <c r="E7" s="22" t="s">
        <v>591</v>
      </c>
      <c r="F7" s="22" t="s">
        <v>592</v>
      </c>
      <c r="G7" s="22" t="s">
        <v>593</v>
      </c>
      <c r="H7" s="24" t="s">
        <v>120</v>
      </c>
      <c r="I7" s="23" t="s">
        <v>121</v>
      </c>
      <c r="J7" s="26"/>
      <c r="K7" s="26"/>
    </row>
    <row r="8" customFormat="false" ht="15" hidden="false" customHeight="false" outlineLevel="0" collapsed="false">
      <c r="A8" s="21" t="s">
        <v>594</v>
      </c>
      <c r="B8" s="22" t="s">
        <v>595</v>
      </c>
      <c r="C8" s="22" t="s">
        <v>596</v>
      </c>
      <c r="D8" s="23" t="s">
        <v>117</v>
      </c>
      <c r="E8" s="26" t="s">
        <v>147</v>
      </c>
      <c r="F8" s="22" t="s">
        <v>597</v>
      </c>
      <c r="G8" s="22" t="s">
        <v>598</v>
      </c>
      <c r="H8" s="24" t="s">
        <v>120</v>
      </c>
      <c r="I8" s="23" t="s">
        <v>121</v>
      </c>
      <c r="J8" s="26"/>
      <c r="K8" s="26"/>
    </row>
    <row r="9" customFormat="false" ht="15" hidden="false" customHeight="false" outlineLevel="0" collapsed="false">
      <c r="A9" s="21" t="s">
        <v>599</v>
      </c>
      <c r="B9" s="22" t="s">
        <v>600</v>
      </c>
      <c r="C9" s="22" t="s">
        <v>601</v>
      </c>
      <c r="D9" s="23" t="s">
        <v>117</v>
      </c>
      <c r="E9" s="26" t="s">
        <v>147</v>
      </c>
      <c r="F9" s="22" t="s">
        <v>602</v>
      </c>
      <c r="G9" s="22" t="s">
        <v>603</v>
      </c>
      <c r="H9" s="24" t="s">
        <v>120</v>
      </c>
      <c r="I9" s="23" t="s">
        <v>121</v>
      </c>
      <c r="J9" s="26"/>
      <c r="K9" s="26"/>
    </row>
    <row r="10" customFormat="false" ht="15" hidden="false" customHeight="false" outlineLevel="0" collapsed="false">
      <c r="A10" s="21" t="s">
        <v>604</v>
      </c>
      <c r="B10" s="22" t="s">
        <v>605</v>
      </c>
      <c r="C10" s="22" t="s">
        <v>606</v>
      </c>
      <c r="D10" s="23" t="s">
        <v>294</v>
      </c>
      <c r="E10" s="26" t="s">
        <v>147</v>
      </c>
      <c r="F10" s="22" t="s">
        <v>607</v>
      </c>
      <c r="G10" s="22" t="s">
        <v>608</v>
      </c>
      <c r="H10" s="24" t="s">
        <v>120</v>
      </c>
      <c r="I10" s="23" t="s">
        <v>121</v>
      </c>
      <c r="J10" s="26"/>
      <c r="K10" s="26"/>
    </row>
    <row r="11" customFormat="false" ht="15" hidden="false" customHeight="false" outlineLevel="0" collapsed="false">
      <c r="A11" s="21" t="s">
        <v>609</v>
      </c>
      <c r="B11" s="22" t="s">
        <v>610</v>
      </c>
      <c r="C11" s="26" t="s">
        <v>611</v>
      </c>
      <c r="D11" s="23" t="s">
        <v>577</v>
      </c>
      <c r="E11" s="26" t="s">
        <v>147</v>
      </c>
      <c r="F11" s="22" t="s">
        <v>612</v>
      </c>
      <c r="G11" s="22" t="s">
        <v>613</v>
      </c>
      <c r="H11" s="27" t="s">
        <v>150</v>
      </c>
      <c r="I11" s="23" t="s">
        <v>121</v>
      </c>
      <c r="J11" s="26"/>
      <c r="K11" s="26"/>
    </row>
    <row r="12" customFormat="false" ht="15" hidden="false" customHeight="false" outlineLevel="0" collapsed="false">
      <c r="A12" s="21" t="s">
        <v>614</v>
      </c>
      <c r="B12" s="22" t="s">
        <v>615</v>
      </c>
      <c r="C12" s="22" t="s">
        <v>616</v>
      </c>
      <c r="D12" s="23" t="s">
        <v>117</v>
      </c>
      <c r="E12" s="26" t="s">
        <v>147</v>
      </c>
      <c r="F12" s="22" t="s">
        <v>617</v>
      </c>
      <c r="G12" s="22" t="s">
        <v>618</v>
      </c>
      <c r="H12" s="27" t="s">
        <v>150</v>
      </c>
      <c r="I12" s="23" t="s">
        <v>121</v>
      </c>
      <c r="J12" s="26"/>
      <c r="K12" s="26"/>
    </row>
    <row r="13" customFormat="false" ht="15" hidden="false" customHeight="false" outlineLevel="0" collapsed="false">
      <c r="A13" s="21" t="s">
        <v>619</v>
      </c>
      <c r="B13" s="22" t="s">
        <v>191</v>
      </c>
      <c r="C13" s="22" t="s">
        <v>620</v>
      </c>
      <c r="D13" s="23" t="s">
        <v>191</v>
      </c>
      <c r="E13" s="26" t="s">
        <v>147</v>
      </c>
      <c r="F13" s="22" t="s">
        <v>621</v>
      </c>
      <c r="G13" s="22" t="s">
        <v>622</v>
      </c>
      <c r="H13" s="25" t="s">
        <v>128</v>
      </c>
      <c r="I13" s="23" t="s">
        <v>121</v>
      </c>
      <c r="J13" s="26"/>
      <c r="K13" s="26"/>
    </row>
  </sheetData>
  <autoFilter ref="A1:K13"/>
  <dataValidations count="1">
    <dataValidation allowBlank="true" errorStyle="stop" operator="between" showDropDown="false" showErrorMessage="false" showInputMessage="false" sqref="I2:I13" type="list">
      <formula1>"未測,Pass,Fail,Blocked,N/A"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  <c r="K1" s="14" t="s">
        <v>113</v>
      </c>
    </row>
    <row r="2" customFormat="false" ht="15" hidden="false" customHeight="false" outlineLevel="0" collapsed="false">
      <c r="A2" s="21" t="s">
        <v>623</v>
      </c>
      <c r="B2" s="26" t="s">
        <v>624</v>
      </c>
      <c r="C2" s="22" t="s">
        <v>625</v>
      </c>
      <c r="D2" s="23" t="s">
        <v>117</v>
      </c>
      <c r="E2" s="26" t="s">
        <v>626</v>
      </c>
      <c r="F2" s="22" t="s">
        <v>627</v>
      </c>
      <c r="G2" s="26" t="s">
        <v>628</v>
      </c>
      <c r="H2" s="24" t="s">
        <v>120</v>
      </c>
      <c r="I2" s="23" t="s">
        <v>121</v>
      </c>
      <c r="J2" s="26"/>
      <c r="K2" s="26"/>
    </row>
    <row r="3" customFormat="false" ht="29.85" hidden="false" customHeight="false" outlineLevel="0" collapsed="false">
      <c r="A3" s="21" t="s">
        <v>629</v>
      </c>
      <c r="B3" s="26" t="s">
        <v>624</v>
      </c>
      <c r="C3" s="22" t="s">
        <v>630</v>
      </c>
      <c r="D3" s="23" t="s">
        <v>117</v>
      </c>
      <c r="E3" s="26" t="s">
        <v>147</v>
      </c>
      <c r="F3" s="22" t="s">
        <v>631</v>
      </c>
      <c r="G3" s="22" t="s">
        <v>632</v>
      </c>
      <c r="H3" s="24" t="s">
        <v>120</v>
      </c>
      <c r="I3" s="23" t="s">
        <v>121</v>
      </c>
      <c r="J3" s="26"/>
      <c r="K3" s="26"/>
    </row>
    <row r="4" customFormat="false" ht="15" hidden="false" customHeight="false" outlineLevel="0" collapsed="false">
      <c r="A4" s="21" t="s">
        <v>633</v>
      </c>
      <c r="B4" s="26" t="s">
        <v>624</v>
      </c>
      <c r="C4" s="22" t="s">
        <v>634</v>
      </c>
      <c r="D4" s="23" t="s">
        <v>117</v>
      </c>
      <c r="E4" s="26" t="s">
        <v>147</v>
      </c>
      <c r="F4" s="22" t="s">
        <v>635</v>
      </c>
      <c r="G4" s="22" t="s">
        <v>636</v>
      </c>
      <c r="H4" s="24" t="s">
        <v>120</v>
      </c>
      <c r="I4" s="23" t="s">
        <v>121</v>
      </c>
      <c r="J4" s="26"/>
      <c r="K4" s="26"/>
    </row>
    <row r="5" customFormat="false" ht="15" hidden="false" customHeight="false" outlineLevel="0" collapsed="false">
      <c r="A5" s="21" t="s">
        <v>637</v>
      </c>
      <c r="B5" s="26" t="s">
        <v>624</v>
      </c>
      <c r="C5" s="22" t="s">
        <v>638</v>
      </c>
      <c r="D5" s="23" t="s">
        <v>117</v>
      </c>
      <c r="E5" s="26" t="s">
        <v>147</v>
      </c>
      <c r="F5" s="22" t="s">
        <v>639</v>
      </c>
      <c r="G5" s="22" t="s">
        <v>640</v>
      </c>
      <c r="H5" s="24" t="s">
        <v>120</v>
      </c>
      <c r="I5" s="23" t="s">
        <v>121</v>
      </c>
      <c r="J5" s="26"/>
      <c r="K5" s="26"/>
    </row>
    <row r="6" customFormat="false" ht="15" hidden="false" customHeight="false" outlineLevel="0" collapsed="false">
      <c r="A6" s="21" t="s">
        <v>641</v>
      </c>
      <c r="B6" s="26" t="s">
        <v>624</v>
      </c>
      <c r="C6" s="22" t="s">
        <v>642</v>
      </c>
      <c r="D6" s="23" t="s">
        <v>117</v>
      </c>
      <c r="E6" s="26" t="s">
        <v>147</v>
      </c>
      <c r="F6" s="22" t="s">
        <v>639</v>
      </c>
      <c r="G6" s="22" t="s">
        <v>643</v>
      </c>
      <c r="H6" s="24" t="s">
        <v>120</v>
      </c>
      <c r="I6" s="23" t="s">
        <v>121</v>
      </c>
      <c r="J6" s="26"/>
      <c r="K6" s="26"/>
    </row>
    <row r="7" customFormat="false" ht="15" hidden="false" customHeight="false" outlineLevel="0" collapsed="false">
      <c r="A7" s="21" t="s">
        <v>644</v>
      </c>
      <c r="B7" s="26" t="s">
        <v>645</v>
      </c>
      <c r="C7" s="22" t="s">
        <v>646</v>
      </c>
      <c r="D7" s="23" t="s">
        <v>117</v>
      </c>
      <c r="E7" s="26" t="s">
        <v>647</v>
      </c>
      <c r="F7" s="22" t="s">
        <v>631</v>
      </c>
      <c r="G7" s="22" t="s">
        <v>648</v>
      </c>
      <c r="H7" s="24" t="s">
        <v>120</v>
      </c>
      <c r="I7" s="23" t="s">
        <v>121</v>
      </c>
      <c r="J7" s="26"/>
      <c r="K7" s="26"/>
    </row>
    <row r="8" customFormat="false" ht="15" hidden="false" customHeight="false" outlineLevel="0" collapsed="false">
      <c r="A8" s="21" t="s">
        <v>649</v>
      </c>
      <c r="B8" s="26" t="s">
        <v>645</v>
      </c>
      <c r="C8" s="22" t="s">
        <v>650</v>
      </c>
      <c r="D8" s="23" t="s">
        <v>117</v>
      </c>
      <c r="E8" s="26" t="s">
        <v>147</v>
      </c>
      <c r="F8" s="22" t="s">
        <v>651</v>
      </c>
      <c r="G8" s="22" t="s">
        <v>652</v>
      </c>
      <c r="H8" s="24" t="s">
        <v>120</v>
      </c>
      <c r="I8" s="23" t="s">
        <v>121</v>
      </c>
      <c r="J8" s="26"/>
      <c r="K8" s="26"/>
    </row>
    <row r="9" customFormat="false" ht="15" hidden="false" customHeight="false" outlineLevel="0" collapsed="false">
      <c r="A9" s="21" t="s">
        <v>653</v>
      </c>
      <c r="B9" s="26" t="s">
        <v>645</v>
      </c>
      <c r="C9" s="22" t="s">
        <v>654</v>
      </c>
      <c r="D9" s="23" t="s">
        <v>117</v>
      </c>
      <c r="E9" s="26" t="s">
        <v>147</v>
      </c>
      <c r="F9" s="22" t="s">
        <v>655</v>
      </c>
      <c r="G9" s="22" t="s">
        <v>656</v>
      </c>
      <c r="H9" s="27" t="s">
        <v>150</v>
      </c>
      <c r="I9" s="23" t="s">
        <v>121</v>
      </c>
      <c r="J9" s="26"/>
      <c r="K9" s="26"/>
    </row>
    <row r="10" customFormat="false" ht="15" hidden="false" customHeight="false" outlineLevel="0" collapsed="false">
      <c r="A10" s="21" t="s">
        <v>657</v>
      </c>
      <c r="B10" s="22" t="s">
        <v>658</v>
      </c>
      <c r="C10" s="22" t="s">
        <v>659</v>
      </c>
      <c r="D10" s="23" t="s">
        <v>117</v>
      </c>
      <c r="E10" s="22" t="s">
        <v>660</v>
      </c>
      <c r="F10" s="22" t="s">
        <v>661</v>
      </c>
      <c r="G10" s="22" t="s">
        <v>662</v>
      </c>
      <c r="H10" s="24" t="s">
        <v>120</v>
      </c>
      <c r="I10" s="23" t="s">
        <v>121</v>
      </c>
      <c r="J10" s="26"/>
      <c r="K10" s="26"/>
    </row>
    <row r="11" customFormat="false" ht="29.85" hidden="false" customHeight="false" outlineLevel="0" collapsed="false">
      <c r="A11" s="21" t="s">
        <v>663</v>
      </c>
      <c r="B11" s="22" t="s">
        <v>658</v>
      </c>
      <c r="C11" s="22" t="s">
        <v>664</v>
      </c>
      <c r="D11" s="23" t="s">
        <v>117</v>
      </c>
      <c r="E11" s="26" t="s">
        <v>665</v>
      </c>
      <c r="F11" s="22" t="s">
        <v>666</v>
      </c>
      <c r="G11" s="22" t="s">
        <v>667</v>
      </c>
      <c r="H11" s="24" t="s">
        <v>120</v>
      </c>
      <c r="I11" s="23" t="s">
        <v>121</v>
      </c>
      <c r="J11" s="26"/>
      <c r="K11" s="26"/>
    </row>
    <row r="12" customFormat="false" ht="15" hidden="false" customHeight="false" outlineLevel="0" collapsed="false">
      <c r="A12" s="21" t="s">
        <v>668</v>
      </c>
      <c r="B12" s="22" t="s">
        <v>658</v>
      </c>
      <c r="C12" s="22" t="s">
        <v>669</v>
      </c>
      <c r="D12" s="23" t="s">
        <v>117</v>
      </c>
      <c r="E12" s="26" t="s">
        <v>670</v>
      </c>
      <c r="F12" s="22" t="s">
        <v>671</v>
      </c>
      <c r="G12" s="22" t="s">
        <v>672</v>
      </c>
      <c r="H12" s="24" t="s">
        <v>120</v>
      </c>
      <c r="I12" s="23" t="s">
        <v>121</v>
      </c>
      <c r="J12" s="26"/>
      <c r="K12" s="26"/>
    </row>
    <row r="13" customFormat="false" ht="15" hidden="false" customHeight="false" outlineLevel="0" collapsed="false">
      <c r="A13" s="21" t="s">
        <v>673</v>
      </c>
      <c r="B13" s="22" t="s">
        <v>658</v>
      </c>
      <c r="C13" s="22" t="s">
        <v>674</v>
      </c>
      <c r="D13" s="23" t="s">
        <v>117</v>
      </c>
      <c r="E13" s="26" t="s">
        <v>675</v>
      </c>
      <c r="F13" s="22" t="s">
        <v>676</v>
      </c>
      <c r="G13" s="22" t="s">
        <v>677</v>
      </c>
      <c r="H13" s="24" t="s">
        <v>120</v>
      </c>
      <c r="I13" s="23" t="s">
        <v>121</v>
      </c>
      <c r="J13" s="26"/>
      <c r="K13" s="26"/>
    </row>
    <row r="14" customFormat="false" ht="15" hidden="false" customHeight="false" outlineLevel="0" collapsed="false">
      <c r="A14" s="21" t="s">
        <v>678</v>
      </c>
      <c r="B14" s="22" t="s">
        <v>679</v>
      </c>
      <c r="C14" s="22" t="s">
        <v>680</v>
      </c>
      <c r="D14" s="23" t="s">
        <v>117</v>
      </c>
      <c r="E14" s="26" t="s">
        <v>147</v>
      </c>
      <c r="F14" s="22" t="s">
        <v>681</v>
      </c>
      <c r="G14" s="26" t="s">
        <v>682</v>
      </c>
      <c r="H14" s="24" t="s">
        <v>120</v>
      </c>
      <c r="I14" s="23" t="s">
        <v>121</v>
      </c>
      <c r="J14" s="26"/>
      <c r="K14" s="26"/>
    </row>
    <row r="15" customFormat="false" ht="15" hidden="false" customHeight="false" outlineLevel="0" collapsed="false">
      <c r="A15" s="21" t="s">
        <v>683</v>
      </c>
      <c r="B15" s="22" t="s">
        <v>684</v>
      </c>
      <c r="C15" s="22" t="s">
        <v>685</v>
      </c>
      <c r="D15" s="23" t="s">
        <v>117</v>
      </c>
      <c r="E15" s="26" t="s">
        <v>147</v>
      </c>
      <c r="F15" s="22" t="s">
        <v>686</v>
      </c>
      <c r="G15" s="26" t="s">
        <v>687</v>
      </c>
      <c r="H15" s="28" t="s">
        <v>200</v>
      </c>
      <c r="I15" s="23" t="s">
        <v>121</v>
      </c>
      <c r="J15" s="26"/>
      <c r="K15" s="26"/>
    </row>
  </sheetData>
  <autoFilter ref="A1:K15"/>
  <dataValidations count="1">
    <dataValidation allowBlank="true" errorStyle="stop" operator="between" showDropDown="false" showErrorMessage="false" showInputMessage="false" sqref="I2:I15" type="list">
      <formula1>"未測,Pass,Fail,Blocked,N/A"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  <c r="K1" s="14" t="s">
        <v>113</v>
      </c>
    </row>
    <row r="2" customFormat="false" ht="15" hidden="false" customHeight="false" outlineLevel="0" collapsed="false">
      <c r="A2" s="21" t="s">
        <v>688</v>
      </c>
      <c r="B2" s="22" t="s">
        <v>689</v>
      </c>
      <c r="C2" s="22" t="s">
        <v>690</v>
      </c>
      <c r="D2" s="23" t="s">
        <v>117</v>
      </c>
      <c r="E2" s="22" t="s">
        <v>691</v>
      </c>
      <c r="F2" s="22" t="s">
        <v>692</v>
      </c>
      <c r="G2" s="22" t="s">
        <v>693</v>
      </c>
      <c r="H2" s="25" t="s">
        <v>128</v>
      </c>
      <c r="I2" s="23" t="s">
        <v>121</v>
      </c>
      <c r="J2" s="26"/>
      <c r="K2" s="26"/>
    </row>
    <row r="3" customFormat="false" ht="15" hidden="false" customHeight="false" outlineLevel="0" collapsed="false">
      <c r="A3" s="21" t="s">
        <v>694</v>
      </c>
      <c r="B3" s="22" t="s">
        <v>695</v>
      </c>
      <c r="C3" s="22" t="s">
        <v>696</v>
      </c>
      <c r="D3" s="23" t="s">
        <v>117</v>
      </c>
      <c r="E3" s="22" t="s">
        <v>315</v>
      </c>
      <c r="F3" s="22" t="s">
        <v>697</v>
      </c>
      <c r="G3" s="22" t="s">
        <v>698</v>
      </c>
      <c r="H3" s="25" t="s">
        <v>128</v>
      </c>
      <c r="I3" s="23" t="s">
        <v>121</v>
      </c>
      <c r="J3" s="26"/>
      <c r="K3" s="26"/>
    </row>
    <row r="4" customFormat="false" ht="15" hidden="false" customHeight="false" outlineLevel="0" collapsed="false">
      <c r="A4" s="21" t="s">
        <v>699</v>
      </c>
      <c r="B4" s="22" t="s">
        <v>700</v>
      </c>
      <c r="C4" s="22" t="s">
        <v>701</v>
      </c>
      <c r="D4" s="23" t="s">
        <v>117</v>
      </c>
      <c r="E4" s="22" t="s">
        <v>702</v>
      </c>
      <c r="F4" s="26" t="s">
        <v>703</v>
      </c>
      <c r="G4" s="22" t="s">
        <v>704</v>
      </c>
      <c r="H4" s="24" t="s">
        <v>120</v>
      </c>
      <c r="I4" s="23" t="s">
        <v>121</v>
      </c>
      <c r="J4" s="26"/>
      <c r="K4" s="26"/>
    </row>
    <row r="5" customFormat="false" ht="15" hidden="false" customHeight="false" outlineLevel="0" collapsed="false">
      <c r="A5" s="21" t="s">
        <v>705</v>
      </c>
      <c r="B5" s="22" t="s">
        <v>706</v>
      </c>
      <c r="C5" s="22" t="s">
        <v>707</v>
      </c>
      <c r="D5" s="23" t="s">
        <v>117</v>
      </c>
      <c r="E5" s="22" t="s">
        <v>708</v>
      </c>
      <c r="F5" s="22" t="s">
        <v>709</v>
      </c>
      <c r="G5" s="22" t="s">
        <v>710</v>
      </c>
      <c r="H5" s="24" t="s">
        <v>120</v>
      </c>
      <c r="I5" s="23" t="s">
        <v>121</v>
      </c>
      <c r="J5" s="26"/>
      <c r="K5" s="26"/>
    </row>
    <row r="6" customFormat="false" ht="15" hidden="false" customHeight="false" outlineLevel="0" collapsed="false">
      <c r="A6" s="21" t="s">
        <v>711</v>
      </c>
      <c r="B6" s="22" t="s">
        <v>712</v>
      </c>
      <c r="C6" s="22" t="s">
        <v>713</v>
      </c>
      <c r="D6" s="23" t="s">
        <v>117</v>
      </c>
      <c r="E6" s="22" t="s">
        <v>488</v>
      </c>
      <c r="F6" s="22" t="s">
        <v>714</v>
      </c>
      <c r="G6" s="22" t="s">
        <v>715</v>
      </c>
      <c r="H6" s="24" t="s">
        <v>120</v>
      </c>
      <c r="I6" s="23" t="s">
        <v>121</v>
      </c>
      <c r="J6" s="26"/>
      <c r="K6" s="26"/>
    </row>
    <row r="7" customFormat="false" ht="15" hidden="false" customHeight="false" outlineLevel="0" collapsed="false">
      <c r="A7" s="21" t="s">
        <v>716</v>
      </c>
      <c r="B7" s="22" t="s">
        <v>717</v>
      </c>
      <c r="C7" s="22" t="s">
        <v>718</v>
      </c>
      <c r="D7" s="23" t="s">
        <v>191</v>
      </c>
      <c r="E7" s="22" t="s">
        <v>719</v>
      </c>
      <c r="F7" s="22" t="s">
        <v>720</v>
      </c>
      <c r="G7" s="22" t="s">
        <v>721</v>
      </c>
      <c r="H7" s="25" t="s">
        <v>128</v>
      </c>
      <c r="I7" s="23" t="s">
        <v>121</v>
      </c>
      <c r="J7" s="26"/>
      <c r="K7" s="26"/>
    </row>
    <row r="8" customFormat="false" ht="15" hidden="false" customHeight="false" outlineLevel="0" collapsed="false">
      <c r="A8" s="21" t="s">
        <v>722</v>
      </c>
      <c r="B8" s="22" t="s">
        <v>723</v>
      </c>
      <c r="C8" s="22" t="s">
        <v>724</v>
      </c>
      <c r="D8" s="23" t="s">
        <v>117</v>
      </c>
      <c r="E8" s="26" t="s">
        <v>147</v>
      </c>
      <c r="F8" s="22" t="s">
        <v>725</v>
      </c>
      <c r="G8" s="26" t="s">
        <v>726</v>
      </c>
      <c r="H8" s="27" t="s">
        <v>150</v>
      </c>
      <c r="I8" s="23" t="s">
        <v>121</v>
      </c>
      <c r="J8" s="26"/>
      <c r="K8" s="26"/>
    </row>
  </sheetData>
  <autoFilter ref="A1:K8"/>
  <dataValidations count="1">
    <dataValidation allowBlank="true" errorStyle="stop" operator="between" showDropDown="false" showErrorMessage="false" showInputMessage="false" sqref="I2:I8" type="list">
      <formula1>"未測,Pass,Fail,Blocked,N/A"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  <c r="K1" s="14" t="s">
        <v>113</v>
      </c>
    </row>
    <row r="2" customFormat="false" ht="15" hidden="false" customHeight="false" outlineLevel="0" collapsed="false">
      <c r="A2" s="21" t="s">
        <v>727</v>
      </c>
      <c r="B2" s="22" t="s">
        <v>728</v>
      </c>
      <c r="C2" s="22" t="s">
        <v>729</v>
      </c>
      <c r="D2" s="23" t="s">
        <v>117</v>
      </c>
      <c r="E2" s="26" t="s">
        <v>147</v>
      </c>
      <c r="F2" s="22" t="s">
        <v>730</v>
      </c>
      <c r="G2" s="22" t="s">
        <v>731</v>
      </c>
      <c r="H2" s="27" t="s">
        <v>150</v>
      </c>
      <c r="I2" s="23" t="s">
        <v>121</v>
      </c>
      <c r="J2" s="26"/>
      <c r="K2" s="26"/>
    </row>
    <row r="3" customFormat="false" ht="15" hidden="false" customHeight="false" outlineLevel="0" collapsed="false">
      <c r="A3" s="21" t="s">
        <v>732</v>
      </c>
      <c r="B3" s="22" t="s">
        <v>733</v>
      </c>
      <c r="C3" s="22" t="s">
        <v>734</v>
      </c>
      <c r="D3" s="23" t="s">
        <v>117</v>
      </c>
      <c r="E3" s="26" t="s">
        <v>147</v>
      </c>
      <c r="F3" s="22" t="s">
        <v>735</v>
      </c>
      <c r="G3" s="22" t="s">
        <v>736</v>
      </c>
      <c r="H3" s="28" t="s">
        <v>200</v>
      </c>
      <c r="I3" s="23" t="s">
        <v>121</v>
      </c>
      <c r="J3" s="26"/>
      <c r="K3" s="26"/>
    </row>
    <row r="4" customFormat="false" ht="29.85" hidden="false" customHeight="false" outlineLevel="0" collapsed="false">
      <c r="A4" s="21" t="s">
        <v>737</v>
      </c>
      <c r="B4" s="22" t="s">
        <v>738</v>
      </c>
      <c r="C4" s="22" t="s">
        <v>739</v>
      </c>
      <c r="D4" s="23" t="s">
        <v>117</v>
      </c>
      <c r="E4" s="22" t="s">
        <v>182</v>
      </c>
      <c r="F4" s="22" t="s">
        <v>331</v>
      </c>
      <c r="G4" s="22" t="s">
        <v>740</v>
      </c>
      <c r="H4" s="27" t="s">
        <v>150</v>
      </c>
      <c r="I4" s="23" t="s">
        <v>121</v>
      </c>
      <c r="J4" s="26"/>
      <c r="K4" s="26"/>
    </row>
    <row r="5" customFormat="false" ht="15" hidden="false" customHeight="false" outlineLevel="0" collapsed="false">
      <c r="A5" s="21" t="s">
        <v>741</v>
      </c>
      <c r="B5" s="22" t="s">
        <v>738</v>
      </c>
      <c r="C5" s="26" t="s">
        <v>742</v>
      </c>
      <c r="D5" s="23" t="s">
        <v>117</v>
      </c>
      <c r="E5" s="26" t="s">
        <v>743</v>
      </c>
      <c r="F5" s="22" t="s">
        <v>744</v>
      </c>
      <c r="G5" s="22" t="s">
        <v>745</v>
      </c>
      <c r="H5" s="28" t="s">
        <v>200</v>
      </c>
      <c r="I5" s="23" t="s">
        <v>121</v>
      </c>
      <c r="J5" s="26"/>
      <c r="K5" s="26"/>
    </row>
    <row r="6" customFormat="false" ht="15" hidden="false" customHeight="false" outlineLevel="0" collapsed="false">
      <c r="A6" s="21" t="s">
        <v>746</v>
      </c>
      <c r="B6" s="26" t="s">
        <v>266</v>
      </c>
      <c r="C6" s="22" t="s">
        <v>747</v>
      </c>
      <c r="D6" s="23" t="s">
        <v>117</v>
      </c>
      <c r="E6" s="26" t="s">
        <v>147</v>
      </c>
      <c r="F6" s="22" t="s">
        <v>748</v>
      </c>
      <c r="G6" s="22" t="s">
        <v>749</v>
      </c>
      <c r="H6" s="27" t="s">
        <v>150</v>
      </c>
      <c r="I6" s="23" t="s">
        <v>121</v>
      </c>
      <c r="J6" s="26"/>
      <c r="K6" s="26"/>
    </row>
    <row r="7" customFormat="false" ht="15" hidden="false" customHeight="false" outlineLevel="0" collapsed="false">
      <c r="A7" s="21" t="s">
        <v>750</v>
      </c>
      <c r="B7" s="22" t="s">
        <v>751</v>
      </c>
      <c r="C7" s="22" t="s">
        <v>752</v>
      </c>
      <c r="D7" s="23" t="s">
        <v>577</v>
      </c>
      <c r="E7" s="26" t="s">
        <v>147</v>
      </c>
      <c r="F7" s="22" t="s">
        <v>753</v>
      </c>
      <c r="G7" s="22" t="s">
        <v>754</v>
      </c>
      <c r="H7" s="27" t="s">
        <v>150</v>
      </c>
      <c r="I7" s="23" t="s">
        <v>121</v>
      </c>
      <c r="J7" s="26"/>
      <c r="K7" s="26"/>
    </row>
    <row r="8" customFormat="false" ht="15" hidden="false" customHeight="false" outlineLevel="0" collapsed="false">
      <c r="A8" s="21" t="s">
        <v>755</v>
      </c>
      <c r="B8" s="22" t="s">
        <v>756</v>
      </c>
      <c r="C8" s="22" t="s">
        <v>757</v>
      </c>
      <c r="D8" s="23" t="s">
        <v>117</v>
      </c>
      <c r="E8" s="26" t="s">
        <v>147</v>
      </c>
      <c r="F8" s="22" t="s">
        <v>758</v>
      </c>
      <c r="G8" s="22" t="s">
        <v>759</v>
      </c>
      <c r="H8" s="28" t="s">
        <v>200</v>
      </c>
      <c r="I8" s="23" t="s">
        <v>121</v>
      </c>
      <c r="J8" s="26"/>
      <c r="K8" s="26"/>
    </row>
    <row r="9" customFormat="false" ht="15" hidden="false" customHeight="false" outlineLevel="0" collapsed="false">
      <c r="A9" s="21" t="s">
        <v>760</v>
      </c>
      <c r="B9" s="22" t="s">
        <v>761</v>
      </c>
      <c r="C9" s="22" t="s">
        <v>762</v>
      </c>
      <c r="D9" s="23" t="s">
        <v>294</v>
      </c>
      <c r="E9" s="22" t="s">
        <v>182</v>
      </c>
      <c r="F9" s="22" t="s">
        <v>763</v>
      </c>
      <c r="G9" s="22" t="s">
        <v>764</v>
      </c>
      <c r="H9" s="24" t="s">
        <v>120</v>
      </c>
      <c r="I9" s="23" t="s">
        <v>121</v>
      </c>
      <c r="J9" s="26"/>
      <c r="K9" s="26"/>
    </row>
    <row r="10" customFormat="false" ht="15" hidden="false" customHeight="false" outlineLevel="0" collapsed="false">
      <c r="A10" s="21" t="s">
        <v>765</v>
      </c>
      <c r="B10" s="22" t="s">
        <v>761</v>
      </c>
      <c r="C10" s="22" t="s">
        <v>766</v>
      </c>
      <c r="D10" s="23" t="s">
        <v>294</v>
      </c>
      <c r="E10" s="26" t="s">
        <v>147</v>
      </c>
      <c r="F10" s="22" t="s">
        <v>767</v>
      </c>
      <c r="G10" s="22" t="s">
        <v>768</v>
      </c>
      <c r="H10" s="24" t="s">
        <v>120</v>
      </c>
      <c r="I10" s="23" t="s">
        <v>121</v>
      </c>
      <c r="J10" s="26"/>
      <c r="K10" s="26"/>
    </row>
    <row r="11" customFormat="false" ht="15" hidden="false" customHeight="false" outlineLevel="0" collapsed="false">
      <c r="A11" s="21" t="s">
        <v>769</v>
      </c>
      <c r="B11" s="22" t="s">
        <v>770</v>
      </c>
      <c r="C11" s="22" t="s">
        <v>771</v>
      </c>
      <c r="D11" s="23" t="s">
        <v>117</v>
      </c>
      <c r="E11" s="26" t="s">
        <v>147</v>
      </c>
      <c r="F11" s="22" t="s">
        <v>772</v>
      </c>
      <c r="G11" s="22" t="s">
        <v>773</v>
      </c>
      <c r="H11" s="27" t="s">
        <v>150</v>
      </c>
      <c r="I11" s="23" t="s">
        <v>121</v>
      </c>
      <c r="J11" s="26"/>
      <c r="K11" s="26"/>
    </row>
    <row r="12" customFormat="false" ht="15" hidden="false" customHeight="false" outlineLevel="0" collapsed="false">
      <c r="A12" s="21" t="s">
        <v>774</v>
      </c>
      <c r="B12" s="22" t="s">
        <v>761</v>
      </c>
      <c r="C12" s="22" t="s">
        <v>775</v>
      </c>
      <c r="D12" s="23" t="s">
        <v>117</v>
      </c>
      <c r="E12" s="22" t="s">
        <v>776</v>
      </c>
      <c r="F12" s="22" t="s">
        <v>777</v>
      </c>
      <c r="G12" s="22" t="s">
        <v>778</v>
      </c>
      <c r="H12" s="28" t="s">
        <v>200</v>
      </c>
      <c r="I12" s="23" t="s">
        <v>121</v>
      </c>
      <c r="J12" s="26"/>
      <c r="K12" s="26"/>
    </row>
  </sheetData>
  <autoFilter ref="A1:K12"/>
  <dataValidations count="1">
    <dataValidation allowBlank="true" errorStyle="stop" operator="between" showDropDown="false" showErrorMessage="false" showInputMessage="false" sqref="I2:I12" type="list">
      <formula1>"未測,Pass,Fail,Blocked,N/A"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4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4" t="s">
        <v>103</v>
      </c>
      <c r="B1" s="14" t="s">
        <v>104</v>
      </c>
      <c r="C1" s="14" t="s">
        <v>105</v>
      </c>
      <c r="D1" s="14" t="s">
        <v>106</v>
      </c>
      <c r="E1" s="14" t="s">
        <v>107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  <c r="K1" s="14" t="s">
        <v>113</v>
      </c>
    </row>
    <row r="2" customFormat="false" ht="15" hidden="false" customHeight="false" outlineLevel="0" collapsed="false">
      <c r="A2" s="21" t="s">
        <v>779</v>
      </c>
      <c r="B2" s="22" t="s">
        <v>577</v>
      </c>
      <c r="C2" s="26" t="s">
        <v>780</v>
      </c>
      <c r="D2" s="23" t="s">
        <v>577</v>
      </c>
      <c r="E2" s="26" t="s">
        <v>147</v>
      </c>
      <c r="F2" s="22" t="s">
        <v>781</v>
      </c>
      <c r="G2" s="22" t="s">
        <v>782</v>
      </c>
      <c r="H2" s="24" t="s">
        <v>120</v>
      </c>
      <c r="I2" s="23" t="s">
        <v>121</v>
      </c>
      <c r="J2" s="26"/>
      <c r="K2" s="26"/>
    </row>
    <row r="3" customFormat="false" ht="15" hidden="false" customHeight="false" outlineLevel="0" collapsed="false">
      <c r="A3" s="21" t="s">
        <v>783</v>
      </c>
      <c r="B3" s="22" t="s">
        <v>577</v>
      </c>
      <c r="C3" s="26" t="s">
        <v>784</v>
      </c>
      <c r="D3" s="23" t="s">
        <v>294</v>
      </c>
      <c r="E3" s="26" t="s">
        <v>147</v>
      </c>
      <c r="F3" s="22" t="s">
        <v>785</v>
      </c>
      <c r="G3" s="22" t="s">
        <v>786</v>
      </c>
      <c r="H3" s="27" t="s">
        <v>150</v>
      </c>
      <c r="I3" s="23" t="s">
        <v>121</v>
      </c>
      <c r="J3" s="26"/>
      <c r="K3" s="26"/>
    </row>
    <row r="4" customFormat="false" ht="15" hidden="false" customHeight="false" outlineLevel="0" collapsed="false">
      <c r="A4" s="21" t="s">
        <v>787</v>
      </c>
      <c r="B4" s="22" t="s">
        <v>497</v>
      </c>
      <c r="C4" s="22" t="s">
        <v>788</v>
      </c>
      <c r="D4" s="23" t="s">
        <v>497</v>
      </c>
      <c r="E4" s="22" t="s">
        <v>789</v>
      </c>
      <c r="F4" s="22" t="s">
        <v>790</v>
      </c>
      <c r="G4" s="22" t="s">
        <v>791</v>
      </c>
      <c r="H4" s="27" t="s">
        <v>150</v>
      </c>
      <c r="I4" s="23" t="s">
        <v>121</v>
      </c>
      <c r="J4" s="26"/>
      <c r="K4" s="26"/>
    </row>
    <row r="5" customFormat="false" ht="15" hidden="false" customHeight="false" outlineLevel="0" collapsed="false">
      <c r="A5" s="21" t="s">
        <v>792</v>
      </c>
      <c r="B5" s="22" t="s">
        <v>497</v>
      </c>
      <c r="C5" s="22" t="s">
        <v>793</v>
      </c>
      <c r="D5" s="23" t="s">
        <v>497</v>
      </c>
      <c r="E5" s="22" t="s">
        <v>794</v>
      </c>
      <c r="F5" s="22" t="s">
        <v>795</v>
      </c>
      <c r="G5" s="22" t="s">
        <v>796</v>
      </c>
      <c r="H5" s="24" t="s">
        <v>120</v>
      </c>
      <c r="I5" s="23" t="s">
        <v>121</v>
      </c>
      <c r="J5" s="26"/>
      <c r="K5" s="26"/>
    </row>
    <row r="6" customFormat="false" ht="15" hidden="false" customHeight="false" outlineLevel="0" collapsed="false">
      <c r="A6" s="21" t="s">
        <v>797</v>
      </c>
      <c r="B6" s="22" t="s">
        <v>497</v>
      </c>
      <c r="C6" s="26" t="s">
        <v>798</v>
      </c>
      <c r="D6" s="23" t="s">
        <v>497</v>
      </c>
      <c r="E6" s="22" t="s">
        <v>799</v>
      </c>
      <c r="F6" s="22" t="s">
        <v>800</v>
      </c>
      <c r="G6" s="22" t="s">
        <v>801</v>
      </c>
      <c r="H6" s="27" t="s">
        <v>150</v>
      </c>
      <c r="I6" s="23" t="s">
        <v>121</v>
      </c>
      <c r="J6" s="26"/>
      <c r="K6" s="26"/>
    </row>
    <row r="7" customFormat="false" ht="15" hidden="false" customHeight="false" outlineLevel="0" collapsed="false">
      <c r="A7" s="21" t="s">
        <v>802</v>
      </c>
      <c r="B7" s="22" t="s">
        <v>191</v>
      </c>
      <c r="C7" s="22" t="s">
        <v>803</v>
      </c>
      <c r="D7" s="23" t="s">
        <v>191</v>
      </c>
      <c r="E7" s="26" t="s">
        <v>147</v>
      </c>
      <c r="F7" s="22" t="s">
        <v>804</v>
      </c>
      <c r="G7" s="22" t="s">
        <v>805</v>
      </c>
      <c r="H7" s="25" t="s">
        <v>128</v>
      </c>
      <c r="I7" s="23" t="s">
        <v>121</v>
      </c>
      <c r="J7" s="26"/>
      <c r="K7" s="26"/>
    </row>
    <row r="8" customFormat="false" ht="15" hidden="false" customHeight="false" outlineLevel="0" collapsed="false">
      <c r="A8" s="21" t="s">
        <v>806</v>
      </c>
      <c r="B8" s="22" t="s">
        <v>191</v>
      </c>
      <c r="C8" s="22" t="s">
        <v>807</v>
      </c>
      <c r="D8" s="23" t="s">
        <v>191</v>
      </c>
      <c r="E8" s="26" t="s">
        <v>147</v>
      </c>
      <c r="F8" s="22" t="s">
        <v>808</v>
      </c>
      <c r="G8" s="22" t="s">
        <v>809</v>
      </c>
      <c r="H8" s="24" t="s">
        <v>120</v>
      </c>
      <c r="I8" s="23" t="s">
        <v>121</v>
      </c>
      <c r="J8" s="26"/>
      <c r="K8" s="26"/>
    </row>
    <row r="9" customFormat="false" ht="15" hidden="false" customHeight="false" outlineLevel="0" collapsed="false">
      <c r="A9" s="21" t="s">
        <v>810</v>
      </c>
      <c r="B9" s="22" t="s">
        <v>191</v>
      </c>
      <c r="C9" s="22" t="s">
        <v>811</v>
      </c>
      <c r="D9" s="23" t="s">
        <v>191</v>
      </c>
      <c r="E9" s="26" t="s">
        <v>147</v>
      </c>
      <c r="F9" s="22" t="s">
        <v>812</v>
      </c>
      <c r="G9" s="22" t="s">
        <v>813</v>
      </c>
      <c r="H9" s="24" t="s">
        <v>120</v>
      </c>
      <c r="I9" s="23" t="s">
        <v>121</v>
      </c>
      <c r="J9" s="26"/>
      <c r="K9" s="26"/>
    </row>
    <row r="10" customFormat="false" ht="15" hidden="false" customHeight="false" outlineLevel="0" collapsed="false">
      <c r="A10" s="21" t="s">
        <v>814</v>
      </c>
      <c r="B10" s="22" t="s">
        <v>492</v>
      </c>
      <c r="C10" s="22" t="s">
        <v>815</v>
      </c>
      <c r="D10" s="23" t="s">
        <v>294</v>
      </c>
      <c r="E10" s="26" t="s">
        <v>147</v>
      </c>
      <c r="F10" s="22" t="s">
        <v>816</v>
      </c>
      <c r="G10" s="22" t="s">
        <v>817</v>
      </c>
      <c r="H10" s="24" t="s">
        <v>120</v>
      </c>
      <c r="I10" s="23" t="s">
        <v>121</v>
      </c>
      <c r="J10" s="26"/>
      <c r="K10" s="26"/>
    </row>
    <row r="11" customFormat="false" ht="15" hidden="false" customHeight="false" outlineLevel="0" collapsed="false">
      <c r="A11" s="21" t="s">
        <v>818</v>
      </c>
      <c r="B11" s="22" t="s">
        <v>492</v>
      </c>
      <c r="C11" s="22" t="s">
        <v>819</v>
      </c>
      <c r="D11" s="23" t="s">
        <v>294</v>
      </c>
      <c r="E11" s="26" t="s">
        <v>147</v>
      </c>
      <c r="F11" s="22" t="s">
        <v>820</v>
      </c>
      <c r="G11" s="22" t="s">
        <v>821</v>
      </c>
      <c r="H11" s="24" t="s">
        <v>120</v>
      </c>
      <c r="I11" s="23" t="s">
        <v>121</v>
      </c>
      <c r="J11" s="26"/>
      <c r="K11" s="26"/>
    </row>
    <row r="12" customFormat="false" ht="15" hidden="false" customHeight="false" outlineLevel="0" collapsed="false">
      <c r="A12" s="21" t="s">
        <v>822</v>
      </c>
      <c r="B12" s="22" t="s">
        <v>492</v>
      </c>
      <c r="C12" s="22" t="s">
        <v>823</v>
      </c>
      <c r="D12" s="23" t="s">
        <v>294</v>
      </c>
      <c r="E12" s="26" t="s">
        <v>147</v>
      </c>
      <c r="F12" s="22" t="s">
        <v>824</v>
      </c>
      <c r="G12" s="22" t="s">
        <v>825</v>
      </c>
      <c r="H12" s="27" t="s">
        <v>150</v>
      </c>
      <c r="I12" s="23" t="s">
        <v>121</v>
      </c>
      <c r="J12" s="26"/>
      <c r="K12" s="26"/>
    </row>
  </sheetData>
  <autoFilter ref="A1:K12"/>
  <dataValidations count="1">
    <dataValidation allowBlank="true" errorStyle="stop" operator="between" showDropDown="false" showErrorMessage="false" showInputMessage="false" sqref="I2:I12" type="list">
      <formula1>"未測,Pass,Fail,Blocked,N/A"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2026-06-23T04:22:05Z</dcterms:created>
  <dc:creator>openpyxl</dc:creator>
  <dc:description/>
  <dc:language>en-US</dc:language>
  <cp:lastModifiedBy/>
  <dcterms:modified xsi:type="dcterms:W3CDTF">2026-06-23T04:22:05Z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